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eminentemerald\kaggle\"/>
    </mc:Choice>
  </mc:AlternateContent>
  <xr:revisionPtr revIDLastSave="0" documentId="13_ncr:1_{39323388-8B12-497F-8BC9-2FF156C2F2B1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match_results" sheetId="1" r:id="rId1"/>
    <sheet name="points table" sheetId="2" r:id="rId2"/>
    <sheet name="Team statistics" sheetId="3" r:id="rId3"/>
    <sheet name="top run scorers" sheetId="4" r:id="rId4"/>
    <sheet name="top wicket takers" sheetId="5" r:id="rId5"/>
    <sheet name="tournament award record" sheetId="6" r:id="rId6"/>
    <sheet name="venue statistic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2" i="1"/>
</calcChain>
</file>

<file path=xl/sharedStrings.xml><?xml version="1.0" encoding="utf-8"?>
<sst xmlns="http://schemas.openxmlformats.org/spreadsheetml/2006/main" count="544" uniqueCount="188">
  <si>
    <t>match_id</t>
  </si>
  <si>
    <t>date</t>
  </si>
  <si>
    <t>match_type</t>
  </si>
  <si>
    <t>venue</t>
  </si>
  <si>
    <t>team1</t>
  </si>
  <si>
    <t>team2</t>
  </si>
  <si>
    <t>toss_winner</t>
  </si>
  <si>
    <t>toss_decision</t>
  </si>
  <si>
    <t>team1_score</t>
  </si>
  <si>
    <t>team2_score</t>
  </si>
  <si>
    <t>winner</t>
  </si>
  <si>
    <t>margin</t>
  </si>
  <si>
    <t>player_of_match</t>
  </si>
  <si>
    <t>Group Stage</t>
  </si>
  <si>
    <t>Guwahati</t>
  </si>
  <si>
    <t>India</t>
  </si>
  <si>
    <t>Sri Lanka</t>
  </si>
  <si>
    <t>Field</t>
  </si>
  <si>
    <t>269/8 (47 ov)</t>
  </si>
  <si>
    <t>211 (45.4 ov)</t>
  </si>
  <si>
    <t>59 runs (DLS)</t>
  </si>
  <si>
    <t>Smriti Mandhana</t>
  </si>
  <si>
    <t>Indore</t>
  </si>
  <si>
    <t>Australia</t>
  </si>
  <si>
    <t>New Zealand</t>
  </si>
  <si>
    <t>Bat</t>
  </si>
  <si>
    <t>237 (43.2 ov)</t>
  </si>
  <si>
    <t>89 runs</t>
  </si>
  <si>
    <t>Phoebe Litchfield</t>
  </si>
  <si>
    <t>Colombo</t>
  </si>
  <si>
    <t>Pakistan</t>
  </si>
  <si>
    <t>Bangladesh</t>
  </si>
  <si>
    <t>131/3 (31.1 ov)</t>
  </si>
  <si>
    <t>7 wickets</t>
  </si>
  <si>
    <t>Nigar Sultana</t>
  </si>
  <si>
    <t>South Africa</t>
  </si>
  <si>
    <t>England</t>
  </si>
  <si>
    <t>72/3 (17.4 ov)</t>
  </si>
  <si>
    <t>Marizanne Kapp</t>
  </si>
  <si>
    <t>215/8</t>
  </si>
  <si>
    <t>219/3 (32.2 ov)</t>
  </si>
  <si>
    <t>Ellyse Perry</t>
  </si>
  <si>
    <t>Visakhapatnam</t>
  </si>
  <si>
    <t>295/8</t>
  </si>
  <si>
    <t>56 runs</t>
  </si>
  <si>
    <t>Harmanpreet Kaur</t>
  </si>
  <si>
    <t>248/5 (49.1 ov)</t>
  </si>
  <si>
    <t>5 wickets</t>
  </si>
  <si>
    <t>Laura Wolvaardt</t>
  </si>
  <si>
    <t>119/2 (24.3 ov)</t>
  </si>
  <si>
    <t>8 wickets</t>
  </si>
  <si>
    <t>Sophie Ecclestone</t>
  </si>
  <si>
    <t>286/6</t>
  </si>
  <si>
    <t>144 runs</t>
  </si>
  <si>
    <t>Ashleigh Gardner</t>
  </si>
  <si>
    <t>185/8</t>
  </si>
  <si>
    <t>190/3 (40.5 ov)</t>
  </si>
  <si>
    <t>Nadine de Klerk</t>
  </si>
  <si>
    <t>24 runs</t>
  </si>
  <si>
    <t>Amelia Kerr</t>
  </si>
  <si>
    <t>221/5 (43.3 ov)</t>
  </si>
  <si>
    <t>Chamari Athapaththu</t>
  </si>
  <si>
    <t>Navi Mumbai</t>
  </si>
  <si>
    <t>333/5 (47.5 ov)</t>
  </si>
  <si>
    <t>Tahlia McGrath</t>
  </si>
  <si>
    <t>168/9</t>
  </si>
  <si>
    <t>169/1 (30.4 ov)</t>
  </si>
  <si>
    <t>9 wickets</t>
  </si>
  <si>
    <t>Tazmin Brits</t>
  </si>
  <si>
    <t>205/3 (37.4 ov)</t>
  </si>
  <si>
    <t>Sophie Devine</t>
  </si>
  <si>
    <t>145/2 (26.2 ov)</t>
  </si>
  <si>
    <t>Nat Sciver-Brunt</t>
  </si>
  <si>
    <t>129/0 (16.3 ov)</t>
  </si>
  <si>
    <t>10 wickets</t>
  </si>
  <si>
    <t>Alyssa Healy</t>
  </si>
  <si>
    <t>154/3 (31.2 ov)</t>
  </si>
  <si>
    <t>182/3 (39.2 ov)</t>
  </si>
  <si>
    <t>Suzie Bates</t>
  </si>
  <si>
    <t>235/5 (48.2 ov)</t>
  </si>
  <si>
    <t>133/4 (28.1 ov)</t>
  </si>
  <si>
    <t>6 wickets</t>
  </si>
  <si>
    <t>Fargana Hoque</t>
  </si>
  <si>
    <t>150 runs</t>
  </si>
  <si>
    <t>Ayabonga Khaka</t>
  </si>
  <si>
    <t>237/4 (39.1 ov)</t>
  </si>
  <si>
    <t>Beth Mooney</t>
  </si>
  <si>
    <t>278/5 (48.3 ov)</t>
  </si>
  <si>
    <t>Brooke Halliday</t>
  </si>
  <si>
    <t>NA</t>
  </si>
  <si>
    <t>18/0 (4.2 ov)</t>
  </si>
  <si>
    <t>No result</t>
  </si>
  <si>
    <t>98/3 (16.5 ov)</t>
  </si>
  <si>
    <t>Alana King</t>
  </si>
  <si>
    <t>172/2 (29.2 ov)</t>
  </si>
  <si>
    <t>Heather Knight</t>
  </si>
  <si>
    <t>119/9 (27 ov)</t>
  </si>
  <si>
    <t>57/0 (8.4 ov)</t>
  </si>
  <si>
    <t>Semi Final 1</t>
  </si>
  <si>
    <t>319/7</t>
  </si>
  <si>
    <t>194 (42.3 ov)</t>
  </si>
  <si>
    <t>125 runs</t>
  </si>
  <si>
    <t>Semi Final 2</t>
  </si>
  <si>
    <t>336/4 (48.2 ov)</t>
  </si>
  <si>
    <t>Jemimah Rodrigues</t>
  </si>
  <si>
    <t>Final</t>
  </si>
  <si>
    <t>298/7</t>
  </si>
  <si>
    <t>246 (45.3 ov)</t>
  </si>
  <si>
    <t>52 runs</t>
  </si>
  <si>
    <t>Shafali Verma</t>
  </si>
  <si>
    <t>position</t>
  </si>
  <si>
    <t>team</t>
  </si>
  <si>
    <t>matches</t>
  </si>
  <si>
    <t>wins</t>
  </si>
  <si>
    <t>losses</t>
  </si>
  <si>
    <t>no_result</t>
  </si>
  <si>
    <t>points</t>
  </si>
  <si>
    <t>net_run_rate</t>
  </si>
  <si>
    <t>qualification</t>
  </si>
  <si>
    <t>Qualified for Semi-Finals</t>
  </si>
  <si>
    <t>Eliminated</t>
  </si>
  <si>
    <t>win_percentage</t>
  </si>
  <si>
    <t>highest_total</t>
  </si>
  <si>
    <t>lowest_total</t>
  </si>
  <si>
    <t>highest_run_chase</t>
  </si>
  <si>
    <t>avg_first_innings</t>
  </si>
  <si>
    <t>avg_second_innings</t>
  </si>
  <si>
    <t>rank</t>
  </si>
  <si>
    <t>player_name</t>
  </si>
  <si>
    <t>innings</t>
  </si>
  <si>
    <t>overs</t>
  </si>
  <si>
    <t>wickets</t>
  </si>
  <si>
    <t>best_figures</t>
  </si>
  <si>
    <t>average</t>
  </si>
  <si>
    <t>economy</t>
  </si>
  <si>
    <t>strike_rate</t>
  </si>
  <si>
    <t>five_wicket_hauls</t>
  </si>
  <si>
    <t>Deepti Sharma</t>
  </si>
  <si>
    <t>Annabel Sutherland</t>
  </si>
  <si>
    <t>Sune Luus</t>
  </si>
  <si>
    <t>Renuka Singh</t>
  </si>
  <si>
    <t>Radha Yadav</t>
  </si>
  <si>
    <t>Megan Schutt</t>
  </si>
  <si>
    <t>Nonkululeko Mlaba</t>
  </si>
  <si>
    <t>award_category</t>
  </si>
  <si>
    <t>recipient</t>
  </si>
  <si>
    <t>performance</t>
  </si>
  <si>
    <t>Winner</t>
  </si>
  <si>
    <t>India Women</t>
  </si>
  <si>
    <t>Beat South Africa by 52 runs in Final</t>
  </si>
  <si>
    <t>Runner-Up</t>
  </si>
  <si>
    <t>South Africa Women</t>
  </si>
  <si>
    <t>Lost to India by 52 runs in Final</t>
  </si>
  <si>
    <t>Player of the Tournament</t>
  </si>
  <si>
    <t>215 runs and 22 wickets</t>
  </si>
  <si>
    <t>Player of the Final</t>
  </si>
  <si>
    <t>87 runs and 2 wickets</t>
  </si>
  <si>
    <t>Most Runs</t>
  </si>
  <si>
    <t>571 runs</t>
  </si>
  <si>
    <t>Most Wickets</t>
  </si>
  <si>
    <t>22 wickets</t>
  </si>
  <si>
    <t>Highest Individual Score</t>
  </si>
  <si>
    <t>169 vs England (SF)</t>
  </si>
  <si>
    <t>Best Bowling Figures</t>
  </si>
  <si>
    <t>7/20 vs South Africa</t>
  </si>
  <si>
    <t>Highest Team Total</t>
  </si>
  <si>
    <t>333/5 vs Australia (SF)</t>
  </si>
  <si>
    <t>Lowest Team Total</t>
  </si>
  <si>
    <t>69 vs England</t>
  </si>
  <si>
    <t>Highest Successful Chase</t>
  </si>
  <si>
    <t>336/4 vs Australia (SF)</t>
  </si>
  <si>
    <t>Most Centuries</t>
  </si>
  <si>
    <t>3 centuries</t>
  </si>
  <si>
    <t>Most Sixes</t>
  </si>
  <si>
    <t>Richa Ghosh</t>
  </si>
  <si>
    <t>10 sixes</t>
  </si>
  <si>
    <t>Best Strike Rate (min 100 runs)</t>
  </si>
  <si>
    <t>Best Economy Rate (min 50 overs)</t>
  </si>
  <si>
    <t>city</t>
  </si>
  <si>
    <t>country</t>
  </si>
  <si>
    <t>chases_won</t>
  </si>
  <si>
    <t>chases_lost</t>
  </si>
  <si>
    <t>team3</t>
  </si>
  <si>
    <t>runs</t>
  </si>
  <si>
    <t>centuries</t>
  </si>
  <si>
    <t>half_centuries</t>
  </si>
  <si>
    <t>Annerie Dercksen</t>
  </si>
  <si>
    <t>highest scorer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</si>
</sst>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17" fontId="0" fillId="0" borderId="0" xfId="0" applyNumberFormat="1"/>
    <xf numFmtId="16" fontId="0" fillId="0" borderId="0" xfId="0" applyNumberFormat="1"/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49" fontId="0" fillId="0" borderId="0" xfId="0" applyNumberFormat="1"/>
    <xf numFmtId="16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1" formatCode="0"/>
    </dxf>
    <dxf>
      <numFmt numFmtId="22" formatCode="mmm\-yy"/>
    </dxf>
    <dxf>
      <numFmt numFmtId="164" formatCode="0.0"/>
    </dxf>
    <dxf>
      <numFmt numFmtId="30" formatCode="@"/>
    </dxf>
    <dxf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N32" totalsRowShown="0">
  <autoFilter ref="A1:N32" xr:uid="{00000000-0009-0000-0100-000001000000}"/>
  <tableColumns count="14">
    <tableColumn id="1" xr3:uid="{00000000-0010-0000-0000-000001000000}" name="match_id"/>
    <tableColumn id="2" xr3:uid="{00000000-0010-0000-0000-000002000000}" name="date" dataDxfId="6"/>
    <tableColumn id="3" xr3:uid="{00000000-0010-0000-0000-000003000000}" name="match_type"/>
    <tableColumn id="4" xr3:uid="{00000000-0010-0000-0000-000004000000}" name="venue"/>
    <tableColumn id="5" xr3:uid="{00000000-0010-0000-0000-000005000000}" name="team1"/>
    <tableColumn id="6" xr3:uid="{00000000-0010-0000-0000-000006000000}" name="team2"/>
    <tableColumn id="14" xr3:uid="{00000000-0010-0000-0000-00000E000000}" name="team3">
      <calculatedColumnFormula>CONCATENATE(Table1[[#This Row],[team1]]," ", "vs", " ",Table1[[#This Row],[team2]])</calculatedColumnFormula>
    </tableColumn>
    <tableColumn id="7" xr3:uid="{00000000-0010-0000-0000-000007000000}" name="toss_winner"/>
    <tableColumn id="8" xr3:uid="{00000000-0010-0000-0000-000008000000}" name="toss_decision"/>
    <tableColumn id="9" xr3:uid="{00000000-0010-0000-0000-000009000000}" name="team1_score" dataDxfId="5"/>
    <tableColumn id="10" xr3:uid="{00000000-0010-0000-0000-00000A000000}" name="team2_score" dataDxfId="4"/>
    <tableColumn id="11" xr3:uid="{00000000-0010-0000-0000-00000B000000}" name="winner" dataDxfId="3"/>
    <tableColumn id="12" xr3:uid="{00000000-0010-0000-0000-00000C000000}" name="margin"/>
    <tableColumn id="13" xr3:uid="{00000000-0010-0000-0000-00000D000000}" name="player_of_match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I9" totalsRowShown="0">
  <autoFilter ref="A1:I9" xr:uid="{00000000-0009-0000-0100-000002000000}"/>
  <tableColumns count="9">
    <tableColumn id="1" xr3:uid="{00000000-0010-0000-0100-000001000000}" name="position"/>
    <tableColumn id="2" xr3:uid="{00000000-0010-0000-0100-000002000000}" name="team"/>
    <tableColumn id="3" xr3:uid="{00000000-0010-0000-0100-000003000000}" name="matches"/>
    <tableColumn id="4" xr3:uid="{00000000-0010-0000-0100-000004000000}" name="wins"/>
    <tableColumn id="5" xr3:uid="{00000000-0010-0000-0100-000005000000}" name="losses"/>
    <tableColumn id="6" xr3:uid="{00000000-0010-0000-0100-000006000000}" name="no_result"/>
    <tableColumn id="7" xr3:uid="{00000000-0010-0000-0100-000007000000}" name="points"/>
    <tableColumn id="8" xr3:uid="{00000000-0010-0000-0100-000008000000}" name="net_run_rate"/>
    <tableColumn id="9" xr3:uid="{00000000-0010-0000-0100-000009000000}" name="qualifica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K9" totalsRowShown="0">
  <autoFilter ref="A1:K9" xr:uid="{00000000-0009-0000-0100-000003000000}"/>
  <tableColumns count="11">
    <tableColumn id="1" xr3:uid="{00000000-0010-0000-0200-000001000000}" name="team"/>
    <tableColumn id="2" xr3:uid="{00000000-0010-0000-0200-000002000000}" name="matches"/>
    <tableColumn id="3" xr3:uid="{00000000-0010-0000-0200-000003000000}" name="wins"/>
    <tableColumn id="4" xr3:uid="{00000000-0010-0000-0200-000004000000}" name="losses"/>
    <tableColumn id="5" xr3:uid="{00000000-0010-0000-0200-000005000000}" name="no_result"/>
    <tableColumn id="6" xr3:uid="{00000000-0010-0000-0200-000006000000}" name="win_percentage"/>
    <tableColumn id="7" xr3:uid="{00000000-0010-0000-0200-000007000000}" name="highest_total"/>
    <tableColumn id="8" xr3:uid="{00000000-0010-0000-0200-000008000000}" name="lowest_total"/>
    <tableColumn id="9" xr3:uid="{00000000-0010-0000-0200-000009000000}" name="highest_run_chase" dataDxfId="0"/>
    <tableColumn id="10" xr3:uid="{00000000-0010-0000-0200-00000A000000}" name="avg_first_innings"/>
    <tableColumn id="11" xr3:uid="{00000000-0010-0000-0200-00000B000000}" name="avg_second_inning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A1:K16" totalsRowShown="0">
  <autoFilter ref="A1:K16" xr:uid="{00000000-0009-0000-0100-000004000000}"/>
  <tableColumns count="11">
    <tableColumn id="1" xr3:uid="{00000000-0010-0000-0300-000001000000}" name="rank"/>
    <tableColumn id="2" xr3:uid="{00000000-0010-0000-0300-000002000000}" name="player_name"/>
    <tableColumn id="3" xr3:uid="{00000000-0010-0000-0300-000003000000}" name="team"/>
    <tableColumn id="4" xr3:uid="{00000000-0010-0000-0300-000004000000}" name="matches"/>
    <tableColumn id="5" xr3:uid="{00000000-0010-0000-0300-000005000000}" name="innings"/>
    <tableColumn id="6" xr3:uid="{00000000-0010-0000-0300-000006000000}" name="runs"/>
    <tableColumn id="7" xr3:uid="{00000000-0010-0000-0300-000007000000}" name="highest scorer" dataDxfId="2"/>
    <tableColumn id="8" xr3:uid="{00000000-0010-0000-0300-000008000000}" name="average"/>
    <tableColumn id="9" xr3:uid="{00000000-0010-0000-0300-000009000000}" name="strike_rate"/>
    <tableColumn id="10" xr3:uid="{00000000-0010-0000-0300-00000A000000}" name="centuries"/>
    <tableColumn id="11" xr3:uid="{00000000-0010-0000-0300-00000B000000}" name="half_centuri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A1:L16" totalsRowShown="0">
  <autoFilter ref="A1:L16" xr:uid="{00000000-0009-0000-0100-000005000000}"/>
  <tableColumns count="12">
    <tableColumn id="1" xr3:uid="{00000000-0010-0000-0400-000001000000}" name="rank"/>
    <tableColumn id="2" xr3:uid="{00000000-0010-0000-0400-000002000000}" name="player_name"/>
    <tableColumn id="3" xr3:uid="{00000000-0010-0000-0400-000003000000}" name="team"/>
    <tableColumn id="4" xr3:uid="{00000000-0010-0000-0400-000004000000}" name="matches"/>
    <tableColumn id="5" xr3:uid="{00000000-0010-0000-0400-000005000000}" name="innings"/>
    <tableColumn id="6" xr3:uid="{00000000-0010-0000-0400-000006000000}" name="overs"/>
    <tableColumn id="7" xr3:uid="{00000000-0010-0000-0400-000007000000}" name="wickets"/>
    <tableColumn id="8" xr3:uid="{00000000-0010-0000-0400-000008000000}" name="best_figures" dataDxfId="1"/>
    <tableColumn id="9" xr3:uid="{00000000-0010-0000-0400-000009000000}" name="average"/>
    <tableColumn id="10" xr3:uid="{00000000-0010-0000-0400-00000A000000}" name="economy"/>
    <tableColumn id="11" xr3:uid="{00000000-0010-0000-0400-00000B000000}" name="strike_rate"/>
    <tableColumn id="12" xr3:uid="{00000000-0010-0000-0400-00000C000000}" name="five_wicket_haul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A1:D16" totalsRowShown="0">
  <autoFilter ref="A1:D16" xr:uid="{00000000-0009-0000-0100-000006000000}"/>
  <tableColumns count="4">
    <tableColumn id="1" xr3:uid="{00000000-0010-0000-0500-000001000000}" name="award_category"/>
    <tableColumn id="2" xr3:uid="{00000000-0010-0000-0500-000002000000}" name="recipient"/>
    <tableColumn id="3" xr3:uid="{00000000-0010-0000-0500-000003000000}" name="team"/>
    <tableColumn id="4" xr3:uid="{00000000-0010-0000-0500-000004000000}" name="performanc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7" displayName="Table7" ref="A1:I6" totalsRowShown="0">
  <autoFilter ref="A1:I6" xr:uid="{00000000-0009-0000-0100-000007000000}"/>
  <tableColumns count="9">
    <tableColumn id="1" xr3:uid="{00000000-0010-0000-0600-000001000000}" name="venue"/>
    <tableColumn id="2" xr3:uid="{00000000-0010-0000-0600-000002000000}" name="city"/>
    <tableColumn id="3" xr3:uid="{00000000-0010-0000-0600-000003000000}" name="country"/>
    <tableColumn id="4" xr3:uid="{00000000-0010-0000-0600-000004000000}" name="matches"/>
    <tableColumn id="5" xr3:uid="{00000000-0010-0000-0600-000005000000}" name="avg_first_innings"/>
    <tableColumn id="6" xr3:uid="{00000000-0010-0000-0600-000006000000}" name="avg_second_innings"/>
    <tableColumn id="7" xr3:uid="{00000000-0010-0000-0600-000007000000}" name="highest_total"/>
    <tableColumn id="8" xr3:uid="{00000000-0010-0000-0600-000008000000}" name="chases_won"/>
    <tableColumn id="9" xr3:uid="{00000000-0010-0000-0600-000009000000}" name="chases_lo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workbookViewId="0">
      <selection activeCell="H2" sqref="H2"/>
    </sheetView>
  </sheetViews>
  <sheetFormatPr defaultRowHeight="14.5" x14ac:dyDescent="0.35"/>
  <cols>
    <col min="1" max="1" width="10.6328125" customWidth="1"/>
    <col min="2" max="2" width="10.453125" bestFit="1" customWidth="1"/>
    <col min="3" max="3" width="12.81640625" customWidth="1"/>
    <col min="4" max="4" width="13.7265625" bestFit="1" customWidth="1"/>
    <col min="5" max="6" width="11.54296875" bestFit="1" customWidth="1"/>
    <col min="7" max="7" width="24.54296875" bestFit="1" customWidth="1"/>
    <col min="8" max="8" width="13.36328125" bestFit="1" customWidth="1"/>
    <col min="9" max="9" width="14.08984375" customWidth="1"/>
    <col min="10" max="10" width="11.81640625" style="5" bestFit="1" customWidth="1"/>
    <col min="11" max="11" width="13.6328125" style="4" customWidth="1"/>
    <col min="12" max="12" width="11.54296875" style="6" bestFit="1" customWidth="1"/>
    <col min="13" max="13" width="11.7265625" bestFit="1" customWidth="1"/>
    <col min="14" max="14" width="17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182</v>
      </c>
      <c r="H1" t="s">
        <v>6</v>
      </c>
      <c r="I1" t="s">
        <v>7</v>
      </c>
      <c r="J1" s="5" t="s">
        <v>8</v>
      </c>
      <c r="K1" s="4" t="s">
        <v>9</v>
      </c>
      <c r="L1" s="6" t="s">
        <v>10</v>
      </c>
      <c r="M1" t="s">
        <v>11</v>
      </c>
      <c r="N1" t="s">
        <v>12</v>
      </c>
    </row>
    <row r="2" spans="1:14" x14ac:dyDescent="0.35">
      <c r="A2">
        <v>1</v>
      </c>
      <c r="B2" s="1">
        <v>45930</v>
      </c>
      <c r="C2" t="s">
        <v>13</v>
      </c>
      <c r="D2" t="s">
        <v>14</v>
      </c>
      <c r="E2" t="s">
        <v>15</v>
      </c>
      <c r="F2" t="s">
        <v>16</v>
      </c>
      <c r="G2" t="str">
        <f>CONCATENATE(Table1[[#This Row],[team1]]," ", "vs", " ",Table1[[#This Row],[team2]])</f>
        <v>India vs Sri Lanka</v>
      </c>
      <c r="H2" t="s">
        <v>16</v>
      </c>
      <c r="I2" t="s">
        <v>17</v>
      </c>
      <c r="J2" s="5" t="s">
        <v>18</v>
      </c>
      <c r="K2" s="4" t="s">
        <v>19</v>
      </c>
      <c r="L2" s="6" t="s">
        <v>15</v>
      </c>
      <c r="M2" t="s">
        <v>20</v>
      </c>
      <c r="N2" t="s">
        <v>21</v>
      </c>
    </row>
    <row r="3" spans="1:14" x14ac:dyDescent="0.35">
      <c r="A3">
        <v>2</v>
      </c>
      <c r="B3" s="1">
        <v>45931</v>
      </c>
      <c r="C3" t="s">
        <v>13</v>
      </c>
      <c r="D3" t="s">
        <v>22</v>
      </c>
      <c r="E3" t="s">
        <v>23</v>
      </c>
      <c r="F3" t="s">
        <v>24</v>
      </c>
      <c r="G3" t="str">
        <f>CONCATENATE(Table1[[#This Row],[team1]]," ", "vs", " ",Table1[[#This Row],[team2]])</f>
        <v>Australia vs New Zealand</v>
      </c>
      <c r="H3" t="s">
        <v>23</v>
      </c>
      <c r="I3" t="s">
        <v>25</v>
      </c>
      <c r="J3" s="5">
        <v>326</v>
      </c>
      <c r="K3" s="4" t="s">
        <v>26</v>
      </c>
      <c r="L3" s="6" t="s">
        <v>23</v>
      </c>
      <c r="M3" t="s">
        <v>27</v>
      </c>
      <c r="N3" t="s">
        <v>28</v>
      </c>
    </row>
    <row r="4" spans="1:14" x14ac:dyDescent="0.35">
      <c r="A4">
        <v>3</v>
      </c>
      <c r="B4" s="1">
        <v>45932</v>
      </c>
      <c r="C4" t="s">
        <v>13</v>
      </c>
      <c r="D4" t="s">
        <v>29</v>
      </c>
      <c r="E4" t="s">
        <v>30</v>
      </c>
      <c r="F4" t="s">
        <v>31</v>
      </c>
      <c r="G4" t="str">
        <f>CONCATENATE(Table1[[#This Row],[team1]]," ", "vs", " ",Table1[[#This Row],[team2]])</f>
        <v>Pakistan vs Bangladesh</v>
      </c>
      <c r="H4" t="s">
        <v>30</v>
      </c>
      <c r="I4" t="s">
        <v>25</v>
      </c>
      <c r="J4" s="5">
        <v>129</v>
      </c>
      <c r="K4" s="4" t="s">
        <v>32</v>
      </c>
      <c r="L4" s="6" t="s">
        <v>31</v>
      </c>
      <c r="M4" t="s">
        <v>33</v>
      </c>
      <c r="N4" t="s">
        <v>34</v>
      </c>
    </row>
    <row r="5" spans="1:14" x14ac:dyDescent="0.35">
      <c r="A5">
        <v>4</v>
      </c>
      <c r="B5" s="1">
        <v>45933</v>
      </c>
      <c r="C5" t="s">
        <v>13</v>
      </c>
      <c r="D5" t="s">
        <v>14</v>
      </c>
      <c r="E5" t="s">
        <v>35</v>
      </c>
      <c r="F5" t="s">
        <v>36</v>
      </c>
      <c r="G5" t="str">
        <f>CONCATENATE(Table1[[#This Row],[team1]]," ", "vs", " ",Table1[[#This Row],[team2]])</f>
        <v>South Africa vs England</v>
      </c>
      <c r="H5" t="s">
        <v>35</v>
      </c>
      <c r="I5" t="s">
        <v>25</v>
      </c>
      <c r="J5" s="5">
        <v>69</v>
      </c>
      <c r="K5" s="4" t="s">
        <v>37</v>
      </c>
      <c r="L5" s="6" t="s">
        <v>36</v>
      </c>
      <c r="M5" t="s">
        <v>33</v>
      </c>
      <c r="N5" t="s">
        <v>38</v>
      </c>
    </row>
    <row r="6" spans="1:14" x14ac:dyDescent="0.35">
      <c r="A6">
        <v>5</v>
      </c>
      <c r="B6" s="1">
        <v>45934</v>
      </c>
      <c r="C6" t="s">
        <v>13</v>
      </c>
      <c r="D6" t="s">
        <v>22</v>
      </c>
      <c r="E6" t="s">
        <v>16</v>
      </c>
      <c r="F6" t="s">
        <v>23</v>
      </c>
      <c r="G6" t="str">
        <f>CONCATENATE(Table1[[#This Row],[team1]]," ", "vs", " ",Table1[[#This Row],[team2]])</f>
        <v>Sri Lanka vs Australia</v>
      </c>
      <c r="H6" t="s">
        <v>23</v>
      </c>
      <c r="I6" t="s">
        <v>25</v>
      </c>
      <c r="J6" s="5" t="s">
        <v>39</v>
      </c>
      <c r="K6" s="4" t="s">
        <v>40</v>
      </c>
      <c r="L6" s="6" t="s">
        <v>23</v>
      </c>
      <c r="M6" t="s">
        <v>33</v>
      </c>
      <c r="N6" t="s">
        <v>41</v>
      </c>
    </row>
    <row r="7" spans="1:14" x14ac:dyDescent="0.35">
      <c r="A7">
        <v>6</v>
      </c>
      <c r="B7" s="1">
        <v>45935</v>
      </c>
      <c r="C7" t="s">
        <v>13</v>
      </c>
      <c r="D7" t="s">
        <v>42</v>
      </c>
      <c r="E7" t="s">
        <v>15</v>
      </c>
      <c r="F7" t="s">
        <v>30</v>
      </c>
      <c r="G7" t="str">
        <f>CONCATENATE(Table1[[#This Row],[team1]]," ", "vs", " ",Table1[[#This Row],[team2]])</f>
        <v>India vs Pakistan</v>
      </c>
      <c r="H7" t="s">
        <v>15</v>
      </c>
      <c r="I7" t="s">
        <v>25</v>
      </c>
      <c r="J7" s="5" t="s">
        <v>43</v>
      </c>
      <c r="K7" s="4">
        <v>239</v>
      </c>
      <c r="L7" s="6" t="s">
        <v>15</v>
      </c>
      <c r="M7" t="s">
        <v>44</v>
      </c>
      <c r="N7" t="s">
        <v>45</v>
      </c>
    </row>
    <row r="8" spans="1:14" x14ac:dyDescent="0.35">
      <c r="A8">
        <v>7</v>
      </c>
      <c r="B8" s="1">
        <v>45936</v>
      </c>
      <c r="C8" t="s">
        <v>13</v>
      </c>
      <c r="D8" t="s">
        <v>29</v>
      </c>
      <c r="E8" t="s">
        <v>24</v>
      </c>
      <c r="F8" t="s">
        <v>35</v>
      </c>
      <c r="G8" t="str">
        <f>CONCATENATE(Table1[[#This Row],[team1]]," ", "vs", " ",Table1[[#This Row],[team2]])</f>
        <v>New Zealand vs South Africa</v>
      </c>
      <c r="H8" t="s">
        <v>24</v>
      </c>
      <c r="I8" t="s">
        <v>25</v>
      </c>
      <c r="J8" s="5">
        <v>244</v>
      </c>
      <c r="K8" s="4" t="s">
        <v>46</v>
      </c>
      <c r="L8" s="6" t="s">
        <v>35</v>
      </c>
      <c r="M8" t="s">
        <v>47</v>
      </c>
      <c r="N8" t="s">
        <v>48</v>
      </c>
    </row>
    <row r="9" spans="1:14" x14ac:dyDescent="0.35">
      <c r="A9">
        <v>8</v>
      </c>
      <c r="B9" s="1">
        <v>45937</v>
      </c>
      <c r="C9" t="s">
        <v>13</v>
      </c>
      <c r="D9" t="s">
        <v>14</v>
      </c>
      <c r="E9" t="s">
        <v>31</v>
      </c>
      <c r="F9" t="s">
        <v>36</v>
      </c>
      <c r="G9" t="str">
        <f>CONCATENATE(Table1[[#This Row],[team1]]," ", "vs", " ",Table1[[#This Row],[team2]])</f>
        <v>Bangladesh vs England</v>
      </c>
      <c r="H9" t="s">
        <v>36</v>
      </c>
      <c r="I9" t="s">
        <v>17</v>
      </c>
      <c r="J9" s="5">
        <v>118</v>
      </c>
      <c r="K9" s="4" t="s">
        <v>49</v>
      </c>
      <c r="L9" s="6" t="s">
        <v>36</v>
      </c>
      <c r="M9" t="s">
        <v>50</v>
      </c>
      <c r="N9" t="s">
        <v>51</v>
      </c>
    </row>
    <row r="10" spans="1:14" x14ac:dyDescent="0.35">
      <c r="A10">
        <v>9</v>
      </c>
      <c r="B10" s="1">
        <v>45938</v>
      </c>
      <c r="C10" t="s">
        <v>13</v>
      </c>
      <c r="D10" t="s">
        <v>29</v>
      </c>
      <c r="E10" t="s">
        <v>23</v>
      </c>
      <c r="F10" t="s">
        <v>30</v>
      </c>
      <c r="G10" t="str">
        <f>CONCATENATE(Table1[[#This Row],[team1]]," ", "vs", " ",Table1[[#This Row],[team2]])</f>
        <v>Australia vs Pakistan</v>
      </c>
      <c r="H10" t="s">
        <v>23</v>
      </c>
      <c r="I10" t="s">
        <v>25</v>
      </c>
      <c r="J10" s="5" t="s">
        <v>52</v>
      </c>
      <c r="K10" s="4">
        <v>142</v>
      </c>
      <c r="L10" s="6" t="s">
        <v>23</v>
      </c>
      <c r="M10" t="s">
        <v>53</v>
      </c>
      <c r="N10" t="s">
        <v>54</v>
      </c>
    </row>
    <row r="11" spans="1:14" x14ac:dyDescent="0.35">
      <c r="A11">
        <v>10</v>
      </c>
      <c r="B11" s="1">
        <v>45939</v>
      </c>
      <c r="C11" t="s">
        <v>13</v>
      </c>
      <c r="D11" t="s">
        <v>22</v>
      </c>
      <c r="E11" t="s">
        <v>15</v>
      </c>
      <c r="F11" t="s">
        <v>35</v>
      </c>
      <c r="G11" t="str">
        <f>CONCATENATE(Table1[[#This Row],[team1]]," ", "vs", " ",Table1[[#This Row],[team2]])</f>
        <v>India vs South Africa</v>
      </c>
      <c r="H11" t="s">
        <v>15</v>
      </c>
      <c r="I11" t="s">
        <v>25</v>
      </c>
      <c r="J11" s="5" t="s">
        <v>55</v>
      </c>
      <c r="K11" s="4" t="s">
        <v>56</v>
      </c>
      <c r="L11" s="6" t="s">
        <v>35</v>
      </c>
      <c r="M11" t="s">
        <v>33</v>
      </c>
      <c r="N11" t="s">
        <v>57</v>
      </c>
    </row>
    <row r="12" spans="1:14" x14ac:dyDescent="0.35">
      <c r="A12">
        <v>11</v>
      </c>
      <c r="B12" s="1">
        <v>45940</v>
      </c>
      <c r="C12" t="s">
        <v>13</v>
      </c>
      <c r="D12" t="s">
        <v>14</v>
      </c>
      <c r="E12" t="s">
        <v>24</v>
      </c>
      <c r="F12" t="s">
        <v>31</v>
      </c>
      <c r="G12" t="str">
        <f>CONCATENATE(Table1[[#This Row],[team1]]," ", "vs", " ",Table1[[#This Row],[team2]])</f>
        <v>New Zealand vs Bangladesh</v>
      </c>
      <c r="H12" t="s">
        <v>24</v>
      </c>
      <c r="I12" t="s">
        <v>25</v>
      </c>
      <c r="J12" s="5">
        <v>249</v>
      </c>
      <c r="K12" s="4">
        <v>225</v>
      </c>
      <c r="L12" s="6" t="s">
        <v>24</v>
      </c>
      <c r="M12" t="s">
        <v>58</v>
      </c>
      <c r="N12" t="s">
        <v>59</v>
      </c>
    </row>
    <row r="13" spans="1:14" x14ac:dyDescent="0.35">
      <c r="A13">
        <v>12</v>
      </c>
      <c r="B13" s="1">
        <v>45941</v>
      </c>
      <c r="C13" t="s">
        <v>13</v>
      </c>
      <c r="D13" t="s">
        <v>29</v>
      </c>
      <c r="E13" t="s">
        <v>36</v>
      </c>
      <c r="F13" t="s">
        <v>16</v>
      </c>
      <c r="G13" t="str">
        <f>CONCATENATE(Table1[[#This Row],[team1]]," ", "vs", " ",Table1[[#This Row],[team2]])</f>
        <v>England vs Sri Lanka</v>
      </c>
      <c r="H13" t="s">
        <v>16</v>
      </c>
      <c r="I13" t="s">
        <v>17</v>
      </c>
      <c r="J13" s="5">
        <v>217</v>
      </c>
      <c r="K13" s="4" t="s">
        <v>60</v>
      </c>
      <c r="L13" s="6" t="s">
        <v>16</v>
      </c>
      <c r="M13" t="s">
        <v>47</v>
      </c>
      <c r="N13" t="s">
        <v>61</v>
      </c>
    </row>
    <row r="14" spans="1:14" x14ac:dyDescent="0.35">
      <c r="A14">
        <v>13</v>
      </c>
      <c r="B14" s="1">
        <v>45942</v>
      </c>
      <c r="C14" t="s">
        <v>13</v>
      </c>
      <c r="D14" t="s">
        <v>62</v>
      </c>
      <c r="E14" t="s">
        <v>15</v>
      </c>
      <c r="F14" t="s">
        <v>23</v>
      </c>
      <c r="G14" t="str">
        <f>CONCATENATE(Table1[[#This Row],[team1]]," ", "vs", " ",Table1[[#This Row],[team2]])</f>
        <v>India vs Australia</v>
      </c>
      <c r="H14" t="s">
        <v>23</v>
      </c>
      <c r="I14" t="s">
        <v>25</v>
      </c>
      <c r="J14" s="5">
        <v>330</v>
      </c>
      <c r="K14" s="4" t="s">
        <v>63</v>
      </c>
      <c r="L14" s="6" t="s">
        <v>23</v>
      </c>
      <c r="M14" t="s">
        <v>47</v>
      </c>
      <c r="N14" t="s">
        <v>64</v>
      </c>
    </row>
    <row r="15" spans="1:14" x14ac:dyDescent="0.35">
      <c r="A15">
        <v>14</v>
      </c>
      <c r="B15" s="1">
        <v>45943</v>
      </c>
      <c r="C15" t="s">
        <v>13</v>
      </c>
      <c r="D15" t="s">
        <v>42</v>
      </c>
      <c r="E15" t="s">
        <v>31</v>
      </c>
      <c r="F15" t="s">
        <v>35</v>
      </c>
      <c r="G15" t="str">
        <f>CONCATENATE(Table1[[#This Row],[team1]]," ", "vs", " ",Table1[[#This Row],[team2]])</f>
        <v>Bangladesh vs South Africa</v>
      </c>
      <c r="H15" t="s">
        <v>35</v>
      </c>
      <c r="I15" t="s">
        <v>25</v>
      </c>
      <c r="J15" s="5" t="s">
        <v>65</v>
      </c>
      <c r="K15" s="4" t="s">
        <v>66</v>
      </c>
      <c r="L15" s="6" t="s">
        <v>35</v>
      </c>
      <c r="M15" t="s">
        <v>67</v>
      </c>
      <c r="N15" t="s">
        <v>68</v>
      </c>
    </row>
    <row r="16" spans="1:14" x14ac:dyDescent="0.35">
      <c r="A16">
        <v>15</v>
      </c>
      <c r="B16" s="1">
        <v>45944</v>
      </c>
      <c r="C16" t="s">
        <v>13</v>
      </c>
      <c r="D16" t="s">
        <v>14</v>
      </c>
      <c r="E16" t="s">
        <v>16</v>
      </c>
      <c r="F16" t="s">
        <v>24</v>
      </c>
      <c r="G16" t="str">
        <f>CONCATENATE(Table1[[#This Row],[team1]]," ", "vs", " ",Table1[[#This Row],[team2]])</f>
        <v>Sri Lanka vs New Zealand</v>
      </c>
      <c r="H16" t="s">
        <v>24</v>
      </c>
      <c r="I16" t="s">
        <v>25</v>
      </c>
      <c r="J16" s="5">
        <v>202</v>
      </c>
      <c r="K16" s="4" t="s">
        <v>69</v>
      </c>
      <c r="L16" s="6" t="s">
        <v>24</v>
      </c>
      <c r="M16" t="s">
        <v>33</v>
      </c>
      <c r="N16" t="s">
        <v>70</v>
      </c>
    </row>
    <row r="17" spans="1:14" x14ac:dyDescent="0.35">
      <c r="A17">
        <v>16</v>
      </c>
      <c r="B17" s="1">
        <v>45945</v>
      </c>
      <c r="C17" t="s">
        <v>13</v>
      </c>
      <c r="D17" t="s">
        <v>29</v>
      </c>
      <c r="E17" t="s">
        <v>36</v>
      </c>
      <c r="F17" t="s">
        <v>30</v>
      </c>
      <c r="G17" t="str">
        <f>CONCATENATE(Table1[[#This Row],[team1]]," ", "vs", " ",Table1[[#This Row],[team2]])</f>
        <v>England vs Pakistan</v>
      </c>
      <c r="H17" t="s">
        <v>36</v>
      </c>
      <c r="I17" t="s">
        <v>17</v>
      </c>
      <c r="J17" s="5">
        <v>142</v>
      </c>
      <c r="K17" s="4" t="s">
        <v>71</v>
      </c>
      <c r="L17" s="6" t="s">
        <v>36</v>
      </c>
      <c r="M17" t="s">
        <v>50</v>
      </c>
      <c r="N17" t="s">
        <v>72</v>
      </c>
    </row>
    <row r="18" spans="1:14" x14ac:dyDescent="0.35">
      <c r="A18">
        <v>17</v>
      </c>
      <c r="B18" s="1">
        <v>45946</v>
      </c>
      <c r="C18" t="s">
        <v>13</v>
      </c>
      <c r="D18" t="s">
        <v>42</v>
      </c>
      <c r="E18" t="s">
        <v>31</v>
      </c>
      <c r="F18" t="s">
        <v>23</v>
      </c>
      <c r="G18" t="str">
        <f>CONCATENATE(Table1[[#This Row],[team1]]," ", "vs", " ",Table1[[#This Row],[team2]])</f>
        <v>Bangladesh vs Australia</v>
      </c>
      <c r="H18" t="s">
        <v>23</v>
      </c>
      <c r="I18" t="s">
        <v>17</v>
      </c>
      <c r="J18" s="5">
        <v>128</v>
      </c>
      <c r="K18" s="4" t="s">
        <v>73</v>
      </c>
      <c r="L18" s="6" t="s">
        <v>23</v>
      </c>
      <c r="M18" t="s">
        <v>74</v>
      </c>
      <c r="N18" t="s">
        <v>75</v>
      </c>
    </row>
    <row r="19" spans="1:14" x14ac:dyDescent="0.35">
      <c r="A19">
        <v>18</v>
      </c>
      <c r="B19" s="1">
        <v>45947</v>
      </c>
      <c r="C19" t="s">
        <v>13</v>
      </c>
      <c r="D19" t="s">
        <v>29</v>
      </c>
      <c r="E19" t="s">
        <v>16</v>
      </c>
      <c r="F19" t="s">
        <v>35</v>
      </c>
      <c r="G19" t="str">
        <f>CONCATENATE(Table1[[#This Row],[team1]]," ", "vs", " ",Table1[[#This Row],[team2]])</f>
        <v>Sri Lanka vs South Africa</v>
      </c>
      <c r="H19" t="s">
        <v>35</v>
      </c>
      <c r="I19" t="s">
        <v>25</v>
      </c>
      <c r="J19" s="5">
        <v>153</v>
      </c>
      <c r="K19" s="4" t="s">
        <v>76</v>
      </c>
      <c r="L19" s="6" t="s">
        <v>35</v>
      </c>
      <c r="M19" t="s">
        <v>33</v>
      </c>
      <c r="N19" t="s">
        <v>38</v>
      </c>
    </row>
    <row r="20" spans="1:14" x14ac:dyDescent="0.35">
      <c r="A20">
        <v>19</v>
      </c>
      <c r="B20" s="1">
        <v>45948</v>
      </c>
      <c r="C20" t="s">
        <v>13</v>
      </c>
      <c r="D20" t="s">
        <v>29</v>
      </c>
      <c r="E20" t="s">
        <v>30</v>
      </c>
      <c r="F20" t="s">
        <v>24</v>
      </c>
      <c r="G20" t="str">
        <f>CONCATENATE(Table1[[#This Row],[team1]]," ", "vs", " ",Table1[[#This Row],[team2]])</f>
        <v>Pakistan vs New Zealand</v>
      </c>
      <c r="H20" t="s">
        <v>24</v>
      </c>
      <c r="I20" t="s">
        <v>17</v>
      </c>
      <c r="J20" s="5">
        <v>181</v>
      </c>
      <c r="K20" s="4" t="s">
        <v>77</v>
      </c>
      <c r="L20" s="6" t="s">
        <v>24</v>
      </c>
      <c r="M20" t="s">
        <v>33</v>
      </c>
      <c r="N20" t="s">
        <v>78</v>
      </c>
    </row>
    <row r="21" spans="1:14" x14ac:dyDescent="0.35">
      <c r="A21">
        <v>20</v>
      </c>
      <c r="B21" s="1">
        <v>45949</v>
      </c>
      <c r="C21" t="s">
        <v>13</v>
      </c>
      <c r="D21" t="s">
        <v>62</v>
      </c>
      <c r="E21" t="s">
        <v>36</v>
      </c>
      <c r="F21" t="s">
        <v>15</v>
      </c>
      <c r="G21" t="str">
        <f>CONCATENATE(Table1[[#This Row],[team1]]," ", "vs", " ",Table1[[#This Row],[team2]])</f>
        <v>England vs India</v>
      </c>
      <c r="H21" t="s">
        <v>36</v>
      </c>
      <c r="I21" t="s">
        <v>17</v>
      </c>
      <c r="J21" s="5">
        <v>231</v>
      </c>
      <c r="K21" s="4" t="s">
        <v>79</v>
      </c>
      <c r="L21" s="6" t="s">
        <v>15</v>
      </c>
      <c r="M21" t="s">
        <v>47</v>
      </c>
      <c r="N21" t="s">
        <v>21</v>
      </c>
    </row>
    <row r="22" spans="1:14" x14ac:dyDescent="0.35">
      <c r="A22">
        <v>21</v>
      </c>
      <c r="B22" s="1">
        <v>45950</v>
      </c>
      <c r="C22" t="s">
        <v>13</v>
      </c>
      <c r="D22" t="s">
        <v>29</v>
      </c>
      <c r="E22" t="s">
        <v>16</v>
      </c>
      <c r="F22" t="s">
        <v>31</v>
      </c>
      <c r="G22" t="str">
        <f>CONCATENATE(Table1[[#This Row],[team1]]," ", "vs", " ",Table1[[#This Row],[team2]])</f>
        <v>Sri Lanka vs Bangladesh</v>
      </c>
      <c r="H22" t="s">
        <v>31</v>
      </c>
      <c r="I22" t="s">
        <v>17</v>
      </c>
      <c r="J22" s="5">
        <v>132</v>
      </c>
      <c r="K22" s="4" t="s">
        <v>80</v>
      </c>
      <c r="L22" s="6" t="s">
        <v>31</v>
      </c>
      <c r="M22" t="s">
        <v>81</v>
      </c>
      <c r="N22" t="s">
        <v>82</v>
      </c>
    </row>
    <row r="23" spans="1:14" x14ac:dyDescent="0.35">
      <c r="A23">
        <v>22</v>
      </c>
      <c r="B23" s="1">
        <v>45951</v>
      </c>
      <c r="C23" t="s">
        <v>13</v>
      </c>
      <c r="D23" t="s">
        <v>29</v>
      </c>
      <c r="E23" t="s">
        <v>35</v>
      </c>
      <c r="F23" t="s">
        <v>30</v>
      </c>
      <c r="G23" t="str">
        <f>CONCATENATE(Table1[[#This Row],[team1]]," ", "vs", " ",Table1[[#This Row],[team2]])</f>
        <v>South Africa vs Pakistan</v>
      </c>
      <c r="H23" t="s">
        <v>35</v>
      </c>
      <c r="I23" t="s">
        <v>25</v>
      </c>
      <c r="J23" s="5">
        <v>235</v>
      </c>
      <c r="K23" s="4">
        <v>85</v>
      </c>
      <c r="L23" s="6" t="s">
        <v>35</v>
      </c>
      <c r="M23" t="s">
        <v>83</v>
      </c>
      <c r="N23" t="s">
        <v>84</v>
      </c>
    </row>
    <row r="24" spans="1:14" x14ac:dyDescent="0.35">
      <c r="A24">
        <v>23</v>
      </c>
      <c r="B24" s="1">
        <v>45952</v>
      </c>
      <c r="C24" t="s">
        <v>13</v>
      </c>
      <c r="D24" t="s">
        <v>22</v>
      </c>
      <c r="E24" t="s">
        <v>36</v>
      </c>
      <c r="F24" t="s">
        <v>23</v>
      </c>
      <c r="G24" t="str">
        <f>CONCATENATE(Table1[[#This Row],[team1]]," ", "vs", " ",Table1[[#This Row],[team2]])</f>
        <v>England vs Australia</v>
      </c>
      <c r="H24" t="s">
        <v>23</v>
      </c>
      <c r="I24" t="s">
        <v>17</v>
      </c>
      <c r="J24" s="5">
        <v>236</v>
      </c>
      <c r="K24" s="4" t="s">
        <v>85</v>
      </c>
      <c r="L24" s="6" t="s">
        <v>23</v>
      </c>
      <c r="M24" t="s">
        <v>81</v>
      </c>
      <c r="N24" t="s">
        <v>86</v>
      </c>
    </row>
    <row r="25" spans="1:14" x14ac:dyDescent="0.35">
      <c r="A25">
        <v>24</v>
      </c>
      <c r="B25" s="1">
        <v>45953</v>
      </c>
      <c r="C25" t="s">
        <v>13</v>
      </c>
      <c r="D25" t="s">
        <v>62</v>
      </c>
      <c r="E25" t="s">
        <v>15</v>
      </c>
      <c r="F25" t="s">
        <v>24</v>
      </c>
      <c r="G25" t="str">
        <f>CONCATENATE(Table1[[#This Row],[team1]]," ", "vs", " ",Table1[[#This Row],[team2]])</f>
        <v>India vs New Zealand</v>
      </c>
      <c r="H25" t="s">
        <v>15</v>
      </c>
      <c r="I25" t="s">
        <v>25</v>
      </c>
      <c r="J25" s="5">
        <v>274</v>
      </c>
      <c r="K25" s="4" t="s">
        <v>87</v>
      </c>
      <c r="L25" s="6" t="s">
        <v>24</v>
      </c>
      <c r="M25" t="s">
        <v>47</v>
      </c>
      <c r="N25" t="s">
        <v>88</v>
      </c>
    </row>
    <row r="26" spans="1:14" x14ac:dyDescent="0.35">
      <c r="A26">
        <v>25</v>
      </c>
      <c r="B26" s="1">
        <v>45954</v>
      </c>
      <c r="C26" t="s">
        <v>13</v>
      </c>
      <c r="D26" t="s">
        <v>29</v>
      </c>
      <c r="E26" t="s">
        <v>30</v>
      </c>
      <c r="F26" t="s">
        <v>16</v>
      </c>
      <c r="G26" t="str">
        <f>CONCATENATE(Table1[[#This Row],[team1]]," ", "vs", " ",Table1[[#This Row],[team2]])</f>
        <v>Pakistan vs Sri Lanka</v>
      </c>
      <c r="H26" t="s">
        <v>89</v>
      </c>
      <c r="I26" t="s">
        <v>89</v>
      </c>
      <c r="J26" s="5" t="s">
        <v>90</v>
      </c>
      <c r="K26" s="4" t="s">
        <v>91</v>
      </c>
      <c r="L26" s="6" t="s">
        <v>91</v>
      </c>
      <c r="M26" t="s">
        <v>91</v>
      </c>
      <c r="N26" t="s">
        <v>89</v>
      </c>
    </row>
    <row r="27" spans="1:14" x14ac:dyDescent="0.35">
      <c r="A27">
        <v>26</v>
      </c>
      <c r="B27" s="1">
        <v>45955</v>
      </c>
      <c r="C27" t="s">
        <v>13</v>
      </c>
      <c r="D27" t="s">
        <v>22</v>
      </c>
      <c r="E27" t="s">
        <v>35</v>
      </c>
      <c r="F27" t="s">
        <v>23</v>
      </c>
      <c r="G27" t="str">
        <f>CONCATENATE(Table1[[#This Row],[team1]]," ", "vs", " ",Table1[[#This Row],[team2]])</f>
        <v>South Africa vs Australia</v>
      </c>
      <c r="H27" t="s">
        <v>35</v>
      </c>
      <c r="I27" t="s">
        <v>25</v>
      </c>
      <c r="J27" s="5">
        <v>97</v>
      </c>
      <c r="K27" s="4" t="s">
        <v>92</v>
      </c>
      <c r="L27" s="6" t="s">
        <v>23</v>
      </c>
      <c r="M27" t="s">
        <v>33</v>
      </c>
      <c r="N27" t="s">
        <v>93</v>
      </c>
    </row>
    <row r="28" spans="1:14" x14ac:dyDescent="0.35">
      <c r="A28">
        <v>27</v>
      </c>
      <c r="B28" s="1">
        <v>45956</v>
      </c>
      <c r="C28" t="s">
        <v>13</v>
      </c>
      <c r="D28" t="s">
        <v>42</v>
      </c>
      <c r="E28" t="s">
        <v>24</v>
      </c>
      <c r="F28" t="s">
        <v>36</v>
      </c>
      <c r="G28" t="str">
        <f>CONCATENATE(Table1[[#This Row],[team1]]," ", "vs", " ",Table1[[#This Row],[team2]])</f>
        <v>New Zealand vs England</v>
      </c>
      <c r="H28" t="s">
        <v>24</v>
      </c>
      <c r="I28" t="s">
        <v>25</v>
      </c>
      <c r="J28" s="5">
        <v>168</v>
      </c>
      <c r="K28" s="4" t="s">
        <v>94</v>
      </c>
      <c r="L28" s="6" t="s">
        <v>36</v>
      </c>
      <c r="M28" t="s">
        <v>50</v>
      </c>
      <c r="N28" t="s">
        <v>95</v>
      </c>
    </row>
    <row r="29" spans="1:14" x14ac:dyDescent="0.35">
      <c r="A29">
        <v>28</v>
      </c>
      <c r="B29" s="1">
        <v>45956</v>
      </c>
      <c r="C29" t="s">
        <v>13</v>
      </c>
      <c r="D29" t="s">
        <v>62</v>
      </c>
      <c r="E29" t="s">
        <v>31</v>
      </c>
      <c r="F29" t="s">
        <v>15</v>
      </c>
      <c r="G29" t="str">
        <f>CONCATENATE(Table1[[#This Row],[team1]]," ", "vs", " ",Table1[[#This Row],[team2]])</f>
        <v>Bangladesh vs India</v>
      </c>
      <c r="H29" t="s">
        <v>31</v>
      </c>
      <c r="I29" t="s">
        <v>25</v>
      </c>
      <c r="J29" s="5" t="s">
        <v>96</v>
      </c>
      <c r="K29" s="4" t="s">
        <v>97</v>
      </c>
      <c r="L29" s="6" t="s">
        <v>91</v>
      </c>
      <c r="M29" t="s">
        <v>91</v>
      </c>
      <c r="N29" t="s">
        <v>89</v>
      </c>
    </row>
    <row r="30" spans="1:14" x14ac:dyDescent="0.35">
      <c r="A30">
        <v>29</v>
      </c>
      <c r="B30" s="1">
        <v>45959</v>
      </c>
      <c r="C30" t="s">
        <v>98</v>
      </c>
      <c r="D30" t="s">
        <v>14</v>
      </c>
      <c r="E30" t="s">
        <v>35</v>
      </c>
      <c r="F30" t="s">
        <v>36</v>
      </c>
      <c r="G30" t="str">
        <f>CONCATENATE(Table1[[#This Row],[team1]]," ", "vs", " ",Table1[[#This Row],[team2]])</f>
        <v>South Africa vs England</v>
      </c>
      <c r="H30" t="s">
        <v>35</v>
      </c>
      <c r="I30" t="s">
        <v>25</v>
      </c>
      <c r="J30" s="5" t="s">
        <v>99</v>
      </c>
      <c r="K30" s="4" t="s">
        <v>100</v>
      </c>
      <c r="L30" s="6" t="s">
        <v>35</v>
      </c>
      <c r="M30" t="s">
        <v>101</v>
      </c>
      <c r="N30" t="s">
        <v>48</v>
      </c>
    </row>
    <row r="31" spans="1:14" x14ac:dyDescent="0.35">
      <c r="A31">
        <v>30</v>
      </c>
      <c r="B31" s="1">
        <v>45960</v>
      </c>
      <c r="C31" t="s">
        <v>102</v>
      </c>
      <c r="D31" t="s">
        <v>62</v>
      </c>
      <c r="E31" t="s">
        <v>15</v>
      </c>
      <c r="F31" t="s">
        <v>23</v>
      </c>
      <c r="G31" t="str">
        <f>CONCATENATE(Table1[[#This Row],[team1]]," ", "vs", " ",Table1[[#This Row],[team2]])</f>
        <v>India vs Australia</v>
      </c>
      <c r="H31" t="s">
        <v>23</v>
      </c>
      <c r="I31" t="s">
        <v>25</v>
      </c>
      <c r="J31" s="5">
        <v>333</v>
      </c>
      <c r="K31" s="4" t="s">
        <v>103</v>
      </c>
      <c r="L31" s="6" t="s">
        <v>15</v>
      </c>
      <c r="M31" t="s">
        <v>81</v>
      </c>
      <c r="N31" t="s">
        <v>104</v>
      </c>
    </row>
    <row r="32" spans="1:14" x14ac:dyDescent="0.35">
      <c r="A32">
        <v>31</v>
      </c>
      <c r="B32" s="1">
        <v>45963</v>
      </c>
      <c r="C32" t="s">
        <v>105</v>
      </c>
      <c r="D32" t="s">
        <v>62</v>
      </c>
      <c r="E32" t="s">
        <v>15</v>
      </c>
      <c r="F32" t="s">
        <v>35</v>
      </c>
      <c r="G32" t="str">
        <f>CONCATENATE(Table1[[#This Row],[team1]]," ", "vs", " ",Table1[[#This Row],[team2]])</f>
        <v>India vs South Africa</v>
      </c>
      <c r="H32" t="s">
        <v>35</v>
      </c>
      <c r="I32" t="s">
        <v>17</v>
      </c>
      <c r="J32" s="5" t="s">
        <v>106</v>
      </c>
      <c r="K32" s="4" t="s">
        <v>107</v>
      </c>
      <c r="L32" s="6" t="s">
        <v>15</v>
      </c>
      <c r="M32" t="s">
        <v>108</v>
      </c>
      <c r="N32" t="s">
        <v>109</v>
      </c>
    </row>
  </sheetData>
  <phoneticPr fontId="18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"/>
  <sheetViews>
    <sheetView workbookViewId="0">
      <selection activeCell="H9" sqref="H9"/>
    </sheetView>
  </sheetViews>
  <sheetFormatPr defaultRowHeight="14.5" x14ac:dyDescent="0.35"/>
  <cols>
    <col min="1" max="1" width="9.6328125" customWidth="1"/>
    <col min="3" max="3" width="9.90625" customWidth="1"/>
    <col min="6" max="6" width="10.81640625" customWidth="1"/>
    <col min="8" max="8" width="14" customWidth="1"/>
    <col min="9" max="9" width="21.36328125" bestFit="1" customWidth="1"/>
  </cols>
  <sheetData>
    <row r="1" spans="1:9" x14ac:dyDescent="0.35">
      <c r="A1" t="s">
        <v>110</v>
      </c>
      <c r="B1" t="s">
        <v>111</v>
      </c>
      <c r="C1" t="s">
        <v>112</v>
      </c>
      <c r="D1" t="s">
        <v>113</v>
      </c>
      <c r="E1" t="s">
        <v>114</v>
      </c>
      <c r="F1" t="s">
        <v>115</v>
      </c>
      <c r="G1" t="s">
        <v>116</v>
      </c>
      <c r="H1" t="s">
        <v>117</v>
      </c>
      <c r="I1" t="s">
        <v>118</v>
      </c>
    </row>
    <row r="2" spans="1:9" x14ac:dyDescent="0.35">
      <c r="A2">
        <v>1</v>
      </c>
      <c r="B2" t="s">
        <v>23</v>
      </c>
      <c r="C2">
        <v>7</v>
      </c>
      <c r="D2">
        <v>6</v>
      </c>
      <c r="E2">
        <v>1</v>
      </c>
      <c r="F2">
        <v>0</v>
      </c>
      <c r="G2">
        <v>12</v>
      </c>
      <c r="H2">
        <v>1.452</v>
      </c>
      <c r="I2" t="s">
        <v>119</v>
      </c>
    </row>
    <row r="3" spans="1:9" x14ac:dyDescent="0.35">
      <c r="A3">
        <v>2</v>
      </c>
      <c r="B3" t="s">
        <v>35</v>
      </c>
      <c r="C3">
        <v>7</v>
      </c>
      <c r="D3">
        <v>5</v>
      </c>
      <c r="E3">
        <v>2</v>
      </c>
      <c r="F3">
        <v>0</v>
      </c>
      <c r="G3">
        <v>10</v>
      </c>
      <c r="H3">
        <v>0.67300000000000004</v>
      </c>
      <c r="I3" t="s">
        <v>119</v>
      </c>
    </row>
    <row r="4" spans="1:9" x14ac:dyDescent="0.35">
      <c r="A4">
        <v>3</v>
      </c>
      <c r="B4" t="s">
        <v>36</v>
      </c>
      <c r="C4">
        <v>7</v>
      </c>
      <c r="D4">
        <v>5</v>
      </c>
      <c r="E4">
        <v>2</v>
      </c>
      <c r="F4">
        <v>0</v>
      </c>
      <c r="G4">
        <v>10</v>
      </c>
      <c r="H4">
        <v>0.60699999999999998</v>
      </c>
      <c r="I4" t="s">
        <v>119</v>
      </c>
    </row>
    <row r="5" spans="1:9" x14ac:dyDescent="0.35">
      <c r="A5">
        <v>4</v>
      </c>
      <c r="B5" t="s">
        <v>15</v>
      </c>
      <c r="C5">
        <v>7</v>
      </c>
      <c r="D5">
        <v>4</v>
      </c>
      <c r="E5">
        <v>3</v>
      </c>
      <c r="F5">
        <v>1</v>
      </c>
      <c r="G5">
        <v>9</v>
      </c>
      <c r="H5">
        <v>-0.107</v>
      </c>
      <c r="I5" t="s">
        <v>119</v>
      </c>
    </row>
    <row r="6" spans="1:9" x14ac:dyDescent="0.35">
      <c r="A6">
        <v>5</v>
      </c>
      <c r="B6" t="s">
        <v>24</v>
      </c>
      <c r="C6">
        <v>7</v>
      </c>
      <c r="D6">
        <v>3</v>
      </c>
      <c r="E6">
        <v>4</v>
      </c>
      <c r="F6">
        <v>0</v>
      </c>
      <c r="G6">
        <v>6</v>
      </c>
      <c r="H6">
        <v>-0.32900000000000001</v>
      </c>
      <c r="I6" t="s">
        <v>120</v>
      </c>
    </row>
    <row r="7" spans="1:9" x14ac:dyDescent="0.35">
      <c r="A7">
        <v>6</v>
      </c>
      <c r="B7" t="s">
        <v>31</v>
      </c>
      <c r="C7">
        <v>7</v>
      </c>
      <c r="D7">
        <v>3</v>
      </c>
      <c r="E7">
        <v>4</v>
      </c>
      <c r="F7">
        <v>1</v>
      </c>
      <c r="G7">
        <v>7</v>
      </c>
      <c r="H7">
        <v>-0.77300000000000002</v>
      </c>
      <c r="I7" t="s">
        <v>120</v>
      </c>
    </row>
    <row r="8" spans="1:9" x14ac:dyDescent="0.35">
      <c r="A8">
        <v>7</v>
      </c>
      <c r="B8" t="s">
        <v>16</v>
      </c>
      <c r="C8">
        <v>7</v>
      </c>
      <c r="D8">
        <v>2</v>
      </c>
      <c r="E8">
        <v>5</v>
      </c>
      <c r="F8">
        <v>1</v>
      </c>
      <c r="G8">
        <v>5</v>
      </c>
      <c r="H8">
        <v>-0.995</v>
      </c>
      <c r="I8" t="s">
        <v>120</v>
      </c>
    </row>
    <row r="9" spans="1:9" x14ac:dyDescent="0.35">
      <c r="A9">
        <v>8</v>
      </c>
      <c r="B9" t="s">
        <v>30</v>
      </c>
      <c r="C9">
        <v>7</v>
      </c>
      <c r="D9">
        <v>0</v>
      </c>
      <c r="E9">
        <v>7</v>
      </c>
      <c r="F9">
        <v>1</v>
      </c>
      <c r="G9">
        <v>1</v>
      </c>
      <c r="H9">
        <v>-1.851</v>
      </c>
      <c r="I9" t="s">
        <v>120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9"/>
  <sheetViews>
    <sheetView tabSelected="1" workbookViewId="0">
      <selection activeCell="H10" sqref="H10"/>
    </sheetView>
  </sheetViews>
  <sheetFormatPr defaultRowHeight="14.5" x14ac:dyDescent="0.35"/>
  <cols>
    <col min="2" max="2" width="9.90625" customWidth="1"/>
    <col min="5" max="5" width="10.81640625" customWidth="1"/>
    <col min="6" max="6" width="16.1796875" customWidth="1"/>
    <col min="7" max="7" width="13.90625" customWidth="1"/>
    <col min="8" max="8" width="13.36328125" customWidth="1"/>
    <col min="9" max="9" width="18.54296875" style="8" customWidth="1"/>
    <col min="10" max="10" width="16.90625" customWidth="1"/>
    <col min="11" max="11" width="19.453125" customWidth="1"/>
  </cols>
  <sheetData>
    <row r="1" spans="1:11" x14ac:dyDescent="0.35">
      <c r="A1" t="s">
        <v>111</v>
      </c>
      <c r="B1" t="s">
        <v>112</v>
      </c>
      <c r="C1" t="s">
        <v>113</v>
      </c>
      <c r="D1" t="s">
        <v>114</v>
      </c>
      <c r="E1" t="s">
        <v>115</v>
      </c>
      <c r="F1" t="s">
        <v>121</v>
      </c>
      <c r="G1" t="s">
        <v>122</v>
      </c>
      <c r="H1" t="s">
        <v>123</v>
      </c>
      <c r="I1" s="8" t="s">
        <v>124</v>
      </c>
      <c r="J1" t="s">
        <v>125</v>
      </c>
      <c r="K1" t="s">
        <v>126</v>
      </c>
    </row>
    <row r="2" spans="1:11" x14ac:dyDescent="0.35">
      <c r="A2" t="s">
        <v>23</v>
      </c>
      <c r="B2">
        <v>9</v>
      </c>
      <c r="C2">
        <v>7</v>
      </c>
      <c r="D2">
        <v>2</v>
      </c>
      <c r="E2">
        <v>0</v>
      </c>
      <c r="F2">
        <v>77.78</v>
      </c>
      <c r="G2">
        <v>330</v>
      </c>
      <c r="H2">
        <v>97</v>
      </c>
      <c r="I2" s="8">
        <v>333</v>
      </c>
      <c r="J2">
        <v>265.60000000000002</v>
      </c>
      <c r="K2">
        <v>208.5</v>
      </c>
    </row>
    <row r="3" spans="1:11" x14ac:dyDescent="0.35">
      <c r="A3" t="s">
        <v>35</v>
      </c>
      <c r="B3">
        <v>10</v>
      </c>
      <c r="C3">
        <v>6</v>
      </c>
      <c r="D3">
        <v>4</v>
      </c>
      <c r="E3">
        <v>0</v>
      </c>
      <c r="F3">
        <v>60</v>
      </c>
      <c r="G3">
        <v>319</v>
      </c>
      <c r="H3">
        <v>69</v>
      </c>
      <c r="I3" s="8">
        <v>248</v>
      </c>
      <c r="J3">
        <v>189.2</v>
      </c>
      <c r="K3">
        <v>195.4</v>
      </c>
    </row>
    <row r="4" spans="1:11" x14ac:dyDescent="0.35">
      <c r="A4" t="s">
        <v>15</v>
      </c>
      <c r="B4">
        <v>10</v>
      </c>
      <c r="C4">
        <v>8</v>
      </c>
      <c r="D4">
        <v>2</v>
      </c>
      <c r="E4">
        <v>0</v>
      </c>
      <c r="F4">
        <v>80</v>
      </c>
      <c r="G4">
        <v>333</v>
      </c>
      <c r="H4">
        <v>185</v>
      </c>
      <c r="I4" s="8">
        <v>336</v>
      </c>
      <c r="J4">
        <v>266.8</v>
      </c>
      <c r="K4">
        <v>216.3</v>
      </c>
    </row>
    <row r="5" spans="1:11" x14ac:dyDescent="0.35">
      <c r="A5" t="s">
        <v>36</v>
      </c>
      <c r="B5">
        <v>9</v>
      </c>
      <c r="C5">
        <v>5</v>
      </c>
      <c r="D5">
        <v>4</v>
      </c>
      <c r="E5">
        <v>0</v>
      </c>
      <c r="F5">
        <v>55.56</v>
      </c>
      <c r="G5">
        <v>236</v>
      </c>
      <c r="H5">
        <v>118</v>
      </c>
      <c r="I5" s="8">
        <v>235</v>
      </c>
      <c r="J5">
        <v>199.4</v>
      </c>
      <c r="K5">
        <v>182.7</v>
      </c>
    </row>
    <row r="6" spans="1:11" x14ac:dyDescent="0.35">
      <c r="A6" t="s">
        <v>24</v>
      </c>
      <c r="B6">
        <v>8</v>
      </c>
      <c r="C6">
        <v>3</v>
      </c>
      <c r="D6">
        <v>5</v>
      </c>
      <c r="E6">
        <v>0</v>
      </c>
      <c r="F6">
        <v>37.5</v>
      </c>
      <c r="G6">
        <v>249</v>
      </c>
      <c r="H6">
        <v>168</v>
      </c>
      <c r="I6" s="8">
        <v>278</v>
      </c>
      <c r="J6">
        <v>211.8</v>
      </c>
      <c r="K6">
        <v>228.6</v>
      </c>
    </row>
    <row r="7" spans="1:11" x14ac:dyDescent="0.35">
      <c r="A7" t="s">
        <v>31</v>
      </c>
      <c r="B7">
        <v>8</v>
      </c>
      <c r="C7">
        <v>3</v>
      </c>
      <c r="D7">
        <v>4</v>
      </c>
      <c r="E7">
        <v>1</v>
      </c>
      <c r="F7">
        <v>42.86</v>
      </c>
      <c r="G7">
        <v>168</v>
      </c>
      <c r="H7">
        <v>118</v>
      </c>
      <c r="I7" s="8">
        <v>133</v>
      </c>
      <c r="J7">
        <v>138.6</v>
      </c>
      <c r="K7">
        <v>145.19999999999999</v>
      </c>
    </row>
    <row r="8" spans="1:11" x14ac:dyDescent="0.35">
      <c r="A8" t="s">
        <v>16</v>
      </c>
      <c r="B8">
        <v>8</v>
      </c>
      <c r="C8">
        <v>2</v>
      </c>
      <c r="D8">
        <v>5</v>
      </c>
      <c r="E8">
        <v>1</v>
      </c>
      <c r="F8">
        <v>28.57</v>
      </c>
      <c r="G8">
        <v>221</v>
      </c>
      <c r="H8">
        <v>132</v>
      </c>
      <c r="I8" s="8">
        <v>221</v>
      </c>
      <c r="J8">
        <v>172.4</v>
      </c>
      <c r="K8">
        <v>187.3</v>
      </c>
    </row>
    <row r="9" spans="1:11" x14ac:dyDescent="0.35">
      <c r="A9" t="s">
        <v>30</v>
      </c>
      <c r="B9">
        <v>8</v>
      </c>
      <c r="C9">
        <v>0</v>
      </c>
      <c r="D9">
        <v>7</v>
      </c>
      <c r="E9">
        <v>1</v>
      </c>
      <c r="F9">
        <v>0</v>
      </c>
      <c r="G9">
        <v>181</v>
      </c>
      <c r="H9">
        <v>85</v>
      </c>
      <c r="I9" s="8" t="s">
        <v>89</v>
      </c>
      <c r="J9">
        <v>142.80000000000001</v>
      </c>
      <c r="K9">
        <v>128.4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6"/>
  <sheetViews>
    <sheetView workbookViewId="0">
      <selection activeCell="I1" sqref="I1"/>
    </sheetView>
  </sheetViews>
  <sheetFormatPr defaultRowHeight="14.5" x14ac:dyDescent="0.35"/>
  <cols>
    <col min="2" max="2" width="9.90625" customWidth="1"/>
    <col min="5" max="5" width="10.81640625" customWidth="1"/>
    <col min="6" max="6" width="16.1796875" customWidth="1"/>
    <col min="7" max="7" width="13.90625" style="7" customWidth="1"/>
    <col min="8" max="8" width="13.36328125" customWidth="1"/>
    <col min="9" max="9" width="18.54296875" customWidth="1"/>
    <col min="10" max="10" width="16.90625" customWidth="1"/>
    <col min="11" max="11" width="19.453125" customWidth="1"/>
  </cols>
  <sheetData>
    <row r="1" spans="1:11" x14ac:dyDescent="0.35">
      <c r="A1" t="s">
        <v>127</v>
      </c>
      <c r="B1" t="s">
        <v>128</v>
      </c>
      <c r="C1" t="s">
        <v>111</v>
      </c>
      <c r="D1" t="s">
        <v>112</v>
      </c>
      <c r="E1" t="s">
        <v>129</v>
      </c>
      <c r="F1" t="s">
        <v>183</v>
      </c>
      <c r="G1" s="7" t="s">
        <v>187</v>
      </c>
      <c r="H1" t="s">
        <v>133</v>
      </c>
      <c r="I1" t="s">
        <v>135</v>
      </c>
      <c r="J1" t="s">
        <v>184</v>
      </c>
      <c r="K1" t="s">
        <v>185</v>
      </c>
    </row>
    <row r="2" spans="1:11" x14ac:dyDescent="0.35">
      <c r="A2">
        <v>1</v>
      </c>
      <c r="B2" t="s">
        <v>48</v>
      </c>
      <c r="C2" t="s">
        <v>35</v>
      </c>
      <c r="D2">
        <v>10</v>
      </c>
      <c r="E2">
        <v>10</v>
      </c>
      <c r="F2">
        <v>571</v>
      </c>
      <c r="G2" s="7">
        <v>169</v>
      </c>
      <c r="H2">
        <v>63.44</v>
      </c>
      <c r="I2">
        <v>85.78</v>
      </c>
      <c r="J2">
        <v>3</v>
      </c>
      <c r="K2">
        <v>2</v>
      </c>
    </row>
    <row r="3" spans="1:11" x14ac:dyDescent="0.35">
      <c r="A3">
        <v>2</v>
      </c>
      <c r="B3" t="s">
        <v>21</v>
      </c>
      <c r="C3" t="s">
        <v>15</v>
      </c>
      <c r="D3">
        <v>10</v>
      </c>
      <c r="E3">
        <v>10</v>
      </c>
      <c r="F3">
        <v>379</v>
      </c>
      <c r="G3" s="7">
        <v>105</v>
      </c>
      <c r="H3">
        <v>42.11</v>
      </c>
      <c r="I3">
        <v>87.12</v>
      </c>
      <c r="J3">
        <v>1</v>
      </c>
      <c r="K3">
        <v>3</v>
      </c>
    </row>
    <row r="4" spans="1:11" x14ac:dyDescent="0.35">
      <c r="A4">
        <v>3</v>
      </c>
      <c r="B4" t="s">
        <v>104</v>
      </c>
      <c r="C4" t="s">
        <v>15</v>
      </c>
      <c r="D4">
        <v>10</v>
      </c>
      <c r="E4">
        <v>9</v>
      </c>
      <c r="F4">
        <v>292</v>
      </c>
      <c r="G4" s="7">
        <v>102</v>
      </c>
      <c r="H4">
        <v>48.67</v>
      </c>
      <c r="I4">
        <v>79.78</v>
      </c>
      <c r="J4">
        <v>1</v>
      </c>
      <c r="K4">
        <v>2</v>
      </c>
    </row>
    <row r="5" spans="1:11" x14ac:dyDescent="0.35">
      <c r="A5">
        <v>4</v>
      </c>
      <c r="B5" t="s">
        <v>28</v>
      </c>
      <c r="C5" t="s">
        <v>23</v>
      </c>
      <c r="D5">
        <v>10</v>
      </c>
      <c r="E5">
        <v>10</v>
      </c>
      <c r="F5">
        <v>287</v>
      </c>
      <c r="G5" s="7">
        <v>103</v>
      </c>
      <c r="H5">
        <v>31.89</v>
      </c>
      <c r="I5">
        <v>92.58</v>
      </c>
      <c r="J5">
        <v>1</v>
      </c>
      <c r="K5">
        <v>1</v>
      </c>
    </row>
    <row r="6" spans="1:11" x14ac:dyDescent="0.35">
      <c r="A6">
        <v>5</v>
      </c>
      <c r="B6" t="s">
        <v>54</v>
      </c>
      <c r="C6" t="s">
        <v>23</v>
      </c>
      <c r="D6">
        <v>10</v>
      </c>
      <c r="E6">
        <v>9</v>
      </c>
      <c r="F6">
        <v>275</v>
      </c>
      <c r="G6" s="7">
        <v>96</v>
      </c>
      <c r="H6">
        <v>39.29</v>
      </c>
      <c r="I6">
        <v>102.23</v>
      </c>
      <c r="J6">
        <v>0</v>
      </c>
      <c r="K6">
        <v>2</v>
      </c>
    </row>
    <row r="7" spans="1:11" x14ac:dyDescent="0.35">
      <c r="A7">
        <v>6</v>
      </c>
      <c r="B7" t="s">
        <v>137</v>
      </c>
      <c r="C7" t="s">
        <v>15</v>
      </c>
      <c r="D7">
        <v>10</v>
      </c>
      <c r="E7">
        <v>9</v>
      </c>
      <c r="F7">
        <v>215</v>
      </c>
      <c r="G7" s="7">
        <v>58</v>
      </c>
      <c r="H7">
        <v>30.71</v>
      </c>
      <c r="I7">
        <v>81.44</v>
      </c>
      <c r="J7">
        <v>0</v>
      </c>
      <c r="K7">
        <v>2</v>
      </c>
    </row>
    <row r="8" spans="1:11" x14ac:dyDescent="0.35">
      <c r="A8">
        <v>7</v>
      </c>
      <c r="B8" t="s">
        <v>86</v>
      </c>
      <c r="C8" t="s">
        <v>23</v>
      </c>
      <c r="D8">
        <v>10</v>
      </c>
      <c r="E8">
        <v>9</v>
      </c>
      <c r="F8">
        <v>213</v>
      </c>
      <c r="G8" s="7">
        <v>85</v>
      </c>
      <c r="H8">
        <v>35.5</v>
      </c>
      <c r="I8">
        <v>75.53</v>
      </c>
      <c r="J8">
        <v>0</v>
      </c>
      <c r="K8">
        <v>2</v>
      </c>
    </row>
    <row r="9" spans="1:11" x14ac:dyDescent="0.35">
      <c r="A9">
        <v>8</v>
      </c>
      <c r="B9" t="s">
        <v>41</v>
      </c>
      <c r="C9" t="s">
        <v>23</v>
      </c>
      <c r="D9">
        <v>10</v>
      </c>
      <c r="E9">
        <v>9</v>
      </c>
      <c r="F9">
        <v>206</v>
      </c>
      <c r="G9" s="7">
        <v>78</v>
      </c>
      <c r="H9">
        <v>29.43</v>
      </c>
      <c r="I9">
        <v>71.28</v>
      </c>
      <c r="J9">
        <v>0</v>
      </c>
      <c r="K9">
        <v>1</v>
      </c>
    </row>
    <row r="10" spans="1:11" x14ac:dyDescent="0.35">
      <c r="A10">
        <v>9</v>
      </c>
      <c r="B10" t="s">
        <v>64</v>
      </c>
      <c r="C10" t="s">
        <v>23</v>
      </c>
      <c r="D10">
        <v>10</v>
      </c>
      <c r="E10">
        <v>9</v>
      </c>
      <c r="F10">
        <v>198</v>
      </c>
      <c r="G10" s="7">
        <v>87</v>
      </c>
      <c r="H10">
        <v>28.29</v>
      </c>
      <c r="I10">
        <v>88</v>
      </c>
      <c r="J10">
        <v>0</v>
      </c>
      <c r="K10">
        <v>1</v>
      </c>
    </row>
    <row r="11" spans="1:11" x14ac:dyDescent="0.35">
      <c r="A11">
        <v>10</v>
      </c>
      <c r="B11" t="s">
        <v>95</v>
      </c>
      <c r="C11" t="s">
        <v>36</v>
      </c>
      <c r="D11">
        <v>9</v>
      </c>
      <c r="E11">
        <v>9</v>
      </c>
      <c r="F11">
        <v>195</v>
      </c>
      <c r="G11" s="7">
        <v>70</v>
      </c>
      <c r="H11">
        <v>24.38</v>
      </c>
      <c r="I11">
        <v>72.489999999999995</v>
      </c>
      <c r="J11">
        <v>0</v>
      </c>
      <c r="K11">
        <v>2</v>
      </c>
    </row>
    <row r="12" spans="1:11" x14ac:dyDescent="0.35">
      <c r="A12">
        <v>11</v>
      </c>
      <c r="B12" t="s">
        <v>45</v>
      </c>
      <c r="C12" t="s">
        <v>15</v>
      </c>
      <c r="D12">
        <v>10</v>
      </c>
      <c r="E12">
        <v>10</v>
      </c>
      <c r="F12">
        <v>188</v>
      </c>
      <c r="G12" s="7">
        <v>95</v>
      </c>
      <c r="H12">
        <v>20.89</v>
      </c>
      <c r="I12">
        <v>80.34</v>
      </c>
      <c r="J12">
        <v>0</v>
      </c>
      <c r="K12">
        <v>1</v>
      </c>
    </row>
    <row r="13" spans="1:11" x14ac:dyDescent="0.35">
      <c r="A13">
        <v>12</v>
      </c>
      <c r="B13" t="s">
        <v>186</v>
      </c>
      <c r="C13" t="s">
        <v>35</v>
      </c>
      <c r="D13">
        <v>10</v>
      </c>
      <c r="E13">
        <v>8</v>
      </c>
      <c r="F13">
        <v>182</v>
      </c>
      <c r="G13" s="7">
        <v>84</v>
      </c>
      <c r="H13">
        <v>30.33</v>
      </c>
      <c r="I13">
        <v>112.35</v>
      </c>
      <c r="J13">
        <v>0</v>
      </c>
      <c r="K13">
        <v>1</v>
      </c>
    </row>
    <row r="14" spans="1:11" x14ac:dyDescent="0.35">
      <c r="A14">
        <v>13</v>
      </c>
      <c r="B14" t="s">
        <v>38</v>
      </c>
      <c r="C14" t="s">
        <v>35</v>
      </c>
      <c r="D14">
        <v>10</v>
      </c>
      <c r="E14">
        <v>9</v>
      </c>
      <c r="F14">
        <v>179</v>
      </c>
      <c r="G14" s="7">
        <v>74</v>
      </c>
      <c r="H14">
        <v>22.38</v>
      </c>
      <c r="I14">
        <v>68.849999999999994</v>
      </c>
      <c r="J14">
        <v>0</v>
      </c>
      <c r="K14">
        <v>1</v>
      </c>
    </row>
    <row r="15" spans="1:11" x14ac:dyDescent="0.35">
      <c r="A15">
        <v>14</v>
      </c>
      <c r="B15" t="s">
        <v>72</v>
      </c>
      <c r="C15" t="s">
        <v>36</v>
      </c>
      <c r="D15">
        <v>9</v>
      </c>
      <c r="E15">
        <v>9</v>
      </c>
      <c r="F15">
        <v>176</v>
      </c>
      <c r="G15" s="7">
        <v>67</v>
      </c>
      <c r="H15">
        <v>21.5</v>
      </c>
      <c r="I15">
        <v>74.58</v>
      </c>
      <c r="J15">
        <v>0</v>
      </c>
      <c r="K15">
        <v>1</v>
      </c>
    </row>
    <row r="16" spans="1:11" x14ac:dyDescent="0.35">
      <c r="A16">
        <v>15</v>
      </c>
      <c r="B16" t="s">
        <v>70</v>
      </c>
      <c r="C16" t="s">
        <v>24</v>
      </c>
      <c r="D16">
        <v>8</v>
      </c>
      <c r="E16">
        <v>8</v>
      </c>
      <c r="F16">
        <v>174</v>
      </c>
      <c r="G16" s="7">
        <v>65</v>
      </c>
      <c r="H16">
        <v>21.75</v>
      </c>
      <c r="I16">
        <v>79.45</v>
      </c>
      <c r="J16">
        <v>0</v>
      </c>
      <c r="K16">
        <v>2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6"/>
  <sheetViews>
    <sheetView workbookViewId="0">
      <selection activeCell="H1" sqref="H1:H1048576"/>
    </sheetView>
  </sheetViews>
  <sheetFormatPr defaultRowHeight="14.5" x14ac:dyDescent="0.35"/>
  <cols>
    <col min="2" max="2" width="13.7265625" customWidth="1"/>
    <col min="4" max="4" width="9.90625" customWidth="1"/>
    <col min="5" max="5" width="9" bestFit="1" customWidth="1"/>
    <col min="6" max="6" width="7.6328125" bestFit="1" customWidth="1"/>
    <col min="7" max="7" width="9.36328125" bestFit="1" customWidth="1"/>
    <col min="8" max="8" width="13.36328125" bestFit="1" customWidth="1"/>
    <col min="9" max="9" width="9.6328125" bestFit="1" customWidth="1"/>
    <col min="10" max="10" width="10.7265625" bestFit="1" customWidth="1"/>
    <col min="11" max="11" width="12" customWidth="1"/>
    <col min="12" max="12" width="17.7265625" customWidth="1"/>
  </cols>
  <sheetData>
    <row r="1" spans="1:12" x14ac:dyDescent="0.35">
      <c r="A1" t="s">
        <v>127</v>
      </c>
      <c r="B1" t="s">
        <v>128</v>
      </c>
      <c r="C1" t="s">
        <v>111</v>
      </c>
      <c r="D1" t="s">
        <v>112</v>
      </c>
      <c r="E1" t="s">
        <v>129</v>
      </c>
      <c r="F1" t="s">
        <v>130</v>
      </c>
      <c r="G1" t="s">
        <v>131</v>
      </c>
      <c r="H1" t="s">
        <v>132</v>
      </c>
      <c r="I1" t="s">
        <v>133</v>
      </c>
      <c r="J1" t="s">
        <v>134</v>
      </c>
      <c r="K1" t="s">
        <v>135</v>
      </c>
      <c r="L1" t="s">
        <v>136</v>
      </c>
    </row>
    <row r="2" spans="1:12" x14ac:dyDescent="0.35">
      <c r="A2">
        <v>1</v>
      </c>
      <c r="B2" t="s">
        <v>137</v>
      </c>
      <c r="C2" t="s">
        <v>15</v>
      </c>
      <c r="D2">
        <v>10</v>
      </c>
      <c r="E2">
        <v>9</v>
      </c>
      <c r="F2">
        <v>71</v>
      </c>
      <c r="G2">
        <v>22</v>
      </c>
      <c r="H2" s="2">
        <v>14366</v>
      </c>
      <c r="I2">
        <v>20.41</v>
      </c>
      <c r="J2">
        <v>4.1500000000000004</v>
      </c>
      <c r="K2">
        <v>19.399999999999999</v>
      </c>
      <c r="L2">
        <v>1</v>
      </c>
    </row>
    <row r="3" spans="1:12" x14ac:dyDescent="0.35">
      <c r="A3">
        <v>2</v>
      </c>
      <c r="B3" t="s">
        <v>138</v>
      </c>
      <c r="C3" t="s">
        <v>23</v>
      </c>
      <c r="D3">
        <v>10</v>
      </c>
      <c r="E3">
        <v>9</v>
      </c>
      <c r="F3">
        <v>69.3</v>
      </c>
      <c r="G3">
        <v>19</v>
      </c>
      <c r="H3" s="3">
        <v>46159</v>
      </c>
      <c r="I3">
        <v>15.68</v>
      </c>
      <c r="J3">
        <v>3.87</v>
      </c>
      <c r="K3">
        <v>21.9</v>
      </c>
      <c r="L3">
        <v>1</v>
      </c>
    </row>
    <row r="4" spans="1:12" x14ac:dyDescent="0.35">
      <c r="A4">
        <v>3</v>
      </c>
      <c r="B4" t="s">
        <v>93</v>
      </c>
      <c r="C4" t="s">
        <v>23</v>
      </c>
      <c r="D4">
        <v>10</v>
      </c>
      <c r="E4">
        <v>9</v>
      </c>
      <c r="F4">
        <v>77</v>
      </c>
      <c r="G4">
        <v>18</v>
      </c>
      <c r="H4" s="3">
        <v>46223</v>
      </c>
      <c r="I4">
        <v>17.829999999999998</v>
      </c>
      <c r="J4">
        <v>3.64</v>
      </c>
      <c r="K4">
        <v>25.7</v>
      </c>
      <c r="L4">
        <v>1</v>
      </c>
    </row>
    <row r="5" spans="1:12" x14ac:dyDescent="0.35">
      <c r="A5">
        <v>4</v>
      </c>
      <c r="B5" t="s">
        <v>38</v>
      </c>
      <c r="C5" t="s">
        <v>35</v>
      </c>
      <c r="D5">
        <v>10</v>
      </c>
      <c r="E5">
        <v>10</v>
      </c>
      <c r="F5">
        <v>73</v>
      </c>
      <c r="G5">
        <v>17</v>
      </c>
      <c r="H5" s="3">
        <v>46162</v>
      </c>
      <c r="I5">
        <v>19.760000000000002</v>
      </c>
      <c r="J5">
        <v>4.2300000000000004</v>
      </c>
      <c r="K5">
        <v>25.8</v>
      </c>
      <c r="L5">
        <v>1</v>
      </c>
    </row>
    <row r="6" spans="1:12" x14ac:dyDescent="0.35">
      <c r="A6">
        <v>5</v>
      </c>
      <c r="B6" t="s">
        <v>54</v>
      </c>
      <c r="C6" t="s">
        <v>23</v>
      </c>
      <c r="D6">
        <v>10</v>
      </c>
      <c r="E6">
        <v>9</v>
      </c>
      <c r="F6">
        <v>67</v>
      </c>
      <c r="G6">
        <v>16</v>
      </c>
      <c r="H6" s="2">
        <v>11780</v>
      </c>
      <c r="I6">
        <v>21.06</v>
      </c>
      <c r="J6">
        <v>4.76</v>
      </c>
      <c r="K6">
        <v>25.1</v>
      </c>
      <c r="L6">
        <v>0</v>
      </c>
    </row>
    <row r="7" spans="1:12" x14ac:dyDescent="0.35">
      <c r="A7">
        <v>6</v>
      </c>
      <c r="B7" t="s">
        <v>51</v>
      </c>
      <c r="C7" t="s">
        <v>36</v>
      </c>
      <c r="D7">
        <v>9</v>
      </c>
      <c r="E7">
        <v>9</v>
      </c>
      <c r="F7">
        <v>76</v>
      </c>
      <c r="G7">
        <v>15</v>
      </c>
      <c r="H7" s="3">
        <v>46141</v>
      </c>
      <c r="I7">
        <v>22.73</v>
      </c>
      <c r="J7">
        <v>3.99</v>
      </c>
      <c r="K7">
        <v>30.4</v>
      </c>
      <c r="L7">
        <v>0</v>
      </c>
    </row>
    <row r="8" spans="1:12" x14ac:dyDescent="0.35">
      <c r="A8">
        <v>7</v>
      </c>
      <c r="B8" t="s">
        <v>139</v>
      </c>
      <c r="C8" t="s">
        <v>35</v>
      </c>
      <c r="D8">
        <v>10</v>
      </c>
      <c r="E8">
        <v>10</v>
      </c>
      <c r="F8">
        <v>68</v>
      </c>
      <c r="G8">
        <v>14</v>
      </c>
      <c r="H8" s="3">
        <v>46109</v>
      </c>
      <c r="I8">
        <v>24.86</v>
      </c>
      <c r="J8">
        <v>4.53</v>
      </c>
      <c r="K8">
        <v>29.1</v>
      </c>
      <c r="L8">
        <v>0</v>
      </c>
    </row>
    <row r="9" spans="1:12" x14ac:dyDescent="0.35">
      <c r="A9">
        <v>8</v>
      </c>
      <c r="B9" t="s">
        <v>84</v>
      </c>
      <c r="C9" t="s">
        <v>35</v>
      </c>
      <c r="D9">
        <v>10</v>
      </c>
      <c r="E9">
        <v>10</v>
      </c>
      <c r="F9">
        <v>72</v>
      </c>
      <c r="G9">
        <v>13</v>
      </c>
      <c r="H9" s="2">
        <v>21245</v>
      </c>
      <c r="I9">
        <v>26.31</v>
      </c>
      <c r="J9">
        <v>4.75</v>
      </c>
      <c r="K9">
        <v>33.200000000000003</v>
      </c>
      <c r="L9">
        <v>0</v>
      </c>
    </row>
    <row r="10" spans="1:12" x14ac:dyDescent="0.35">
      <c r="A10">
        <v>9</v>
      </c>
      <c r="B10" t="s">
        <v>140</v>
      </c>
      <c r="C10" t="s">
        <v>15</v>
      </c>
      <c r="D10">
        <v>10</v>
      </c>
      <c r="E10">
        <v>9</v>
      </c>
      <c r="F10">
        <v>64</v>
      </c>
      <c r="G10">
        <v>12</v>
      </c>
      <c r="H10" s="3">
        <v>46107</v>
      </c>
      <c r="I10">
        <v>28.5</v>
      </c>
      <c r="J10">
        <v>4.78</v>
      </c>
      <c r="K10">
        <v>32</v>
      </c>
      <c r="L10">
        <v>0</v>
      </c>
    </row>
    <row r="11" spans="1:12" x14ac:dyDescent="0.35">
      <c r="A11">
        <v>10</v>
      </c>
      <c r="B11" t="s">
        <v>109</v>
      </c>
      <c r="C11" t="s">
        <v>15</v>
      </c>
      <c r="D11">
        <v>10</v>
      </c>
      <c r="E11">
        <v>3</v>
      </c>
      <c r="F11">
        <v>20</v>
      </c>
      <c r="G11">
        <v>11</v>
      </c>
      <c r="H11" s="2">
        <v>13181</v>
      </c>
      <c r="I11">
        <v>14.36</v>
      </c>
      <c r="J11">
        <v>5.25</v>
      </c>
      <c r="K11">
        <v>16.399999999999999</v>
      </c>
      <c r="L11">
        <v>0</v>
      </c>
    </row>
    <row r="12" spans="1:12" x14ac:dyDescent="0.35">
      <c r="A12">
        <v>11</v>
      </c>
      <c r="B12" t="s">
        <v>141</v>
      </c>
      <c r="C12" t="s">
        <v>15</v>
      </c>
      <c r="D12">
        <v>10</v>
      </c>
      <c r="E12">
        <v>8</v>
      </c>
      <c r="F12">
        <v>58</v>
      </c>
      <c r="G12">
        <v>10</v>
      </c>
      <c r="H12" s="2">
        <v>14305</v>
      </c>
      <c r="I12">
        <v>31.2</v>
      </c>
      <c r="J12">
        <v>4.66</v>
      </c>
      <c r="K12">
        <v>36</v>
      </c>
      <c r="L12">
        <v>0</v>
      </c>
    </row>
    <row r="13" spans="1:12" x14ac:dyDescent="0.35">
      <c r="A13">
        <v>12</v>
      </c>
      <c r="B13" t="s">
        <v>72</v>
      </c>
      <c r="C13" t="s">
        <v>36</v>
      </c>
      <c r="D13">
        <v>9</v>
      </c>
      <c r="E13">
        <v>9</v>
      </c>
      <c r="F13">
        <v>59</v>
      </c>
      <c r="G13">
        <v>10</v>
      </c>
      <c r="H13" s="2">
        <v>16132</v>
      </c>
      <c r="I13">
        <v>29.9</v>
      </c>
      <c r="J13">
        <v>4.54</v>
      </c>
      <c r="K13">
        <v>35.4</v>
      </c>
      <c r="L13">
        <v>0</v>
      </c>
    </row>
    <row r="14" spans="1:12" x14ac:dyDescent="0.35">
      <c r="A14">
        <v>13</v>
      </c>
      <c r="B14" t="s">
        <v>142</v>
      </c>
      <c r="C14" t="s">
        <v>23</v>
      </c>
      <c r="D14">
        <v>10</v>
      </c>
      <c r="E14">
        <v>9</v>
      </c>
      <c r="F14">
        <v>65</v>
      </c>
      <c r="G14">
        <v>9</v>
      </c>
      <c r="H14" s="2">
        <v>15401</v>
      </c>
      <c r="I14">
        <v>35</v>
      </c>
      <c r="J14">
        <v>5.08</v>
      </c>
      <c r="K14">
        <v>39</v>
      </c>
      <c r="L14">
        <v>0</v>
      </c>
    </row>
    <row r="15" spans="1:12" x14ac:dyDescent="0.35">
      <c r="A15">
        <v>14</v>
      </c>
      <c r="B15" t="s">
        <v>61</v>
      </c>
      <c r="C15" t="s">
        <v>16</v>
      </c>
      <c r="D15">
        <v>8</v>
      </c>
      <c r="E15">
        <v>8</v>
      </c>
      <c r="F15">
        <v>52</v>
      </c>
      <c r="G15">
        <v>8</v>
      </c>
      <c r="H15" s="3">
        <v>46071</v>
      </c>
      <c r="I15">
        <v>38.130000000000003</v>
      </c>
      <c r="J15">
        <v>4.42</v>
      </c>
      <c r="K15">
        <v>43.5</v>
      </c>
      <c r="L15">
        <v>0</v>
      </c>
    </row>
    <row r="16" spans="1:12" x14ac:dyDescent="0.35">
      <c r="A16">
        <v>15</v>
      </c>
      <c r="B16" t="s">
        <v>143</v>
      </c>
      <c r="C16" t="s">
        <v>35</v>
      </c>
      <c r="D16">
        <v>10</v>
      </c>
      <c r="E16">
        <v>10</v>
      </c>
      <c r="F16">
        <v>67</v>
      </c>
      <c r="G16">
        <v>8</v>
      </c>
      <c r="H16" s="2">
        <v>12816</v>
      </c>
      <c r="I16">
        <v>41.5</v>
      </c>
      <c r="J16">
        <v>4.6100000000000003</v>
      </c>
      <c r="K16">
        <v>50.3</v>
      </c>
      <c r="L16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6"/>
  <sheetViews>
    <sheetView workbookViewId="0">
      <selection activeCell="D1" sqref="D1:D1048576"/>
    </sheetView>
  </sheetViews>
  <sheetFormatPr defaultRowHeight="14.5" x14ac:dyDescent="0.35"/>
  <cols>
    <col min="1" max="1" width="29.453125" bestFit="1" customWidth="1"/>
    <col min="2" max="2" width="18.1796875" bestFit="1" customWidth="1"/>
    <col min="3" max="3" width="10.90625" bestFit="1" customWidth="1"/>
    <col min="4" max="4" width="31" bestFit="1" customWidth="1"/>
  </cols>
  <sheetData>
    <row r="1" spans="1:4" x14ac:dyDescent="0.35">
      <c r="A1" t="s">
        <v>144</v>
      </c>
      <c r="B1" t="s">
        <v>145</v>
      </c>
      <c r="C1" t="s">
        <v>111</v>
      </c>
      <c r="D1" t="s">
        <v>146</v>
      </c>
    </row>
    <row r="2" spans="1:4" x14ac:dyDescent="0.35">
      <c r="A2" t="s">
        <v>147</v>
      </c>
      <c r="B2" t="s">
        <v>148</v>
      </c>
      <c r="C2" t="s">
        <v>15</v>
      </c>
      <c r="D2" t="s">
        <v>149</v>
      </c>
    </row>
    <row r="3" spans="1:4" x14ac:dyDescent="0.35">
      <c r="A3" t="s">
        <v>150</v>
      </c>
      <c r="B3" t="s">
        <v>151</v>
      </c>
      <c r="C3" t="s">
        <v>35</v>
      </c>
      <c r="D3" t="s">
        <v>152</v>
      </c>
    </row>
    <row r="4" spans="1:4" x14ac:dyDescent="0.35">
      <c r="A4" t="s">
        <v>153</v>
      </c>
      <c r="B4" t="s">
        <v>137</v>
      </c>
      <c r="C4" t="s">
        <v>15</v>
      </c>
      <c r="D4" t="s">
        <v>154</v>
      </c>
    </row>
    <row r="5" spans="1:4" x14ac:dyDescent="0.35">
      <c r="A5" t="s">
        <v>155</v>
      </c>
      <c r="B5" t="s">
        <v>109</v>
      </c>
      <c r="C5" t="s">
        <v>15</v>
      </c>
      <c r="D5" t="s">
        <v>156</v>
      </c>
    </row>
    <row r="6" spans="1:4" x14ac:dyDescent="0.35">
      <c r="A6" t="s">
        <v>157</v>
      </c>
      <c r="B6" t="s">
        <v>48</v>
      </c>
      <c r="C6" t="s">
        <v>35</v>
      </c>
      <c r="D6" t="s">
        <v>158</v>
      </c>
    </row>
    <row r="7" spans="1:4" x14ac:dyDescent="0.35">
      <c r="A7" t="s">
        <v>159</v>
      </c>
      <c r="B7" t="s">
        <v>137</v>
      </c>
      <c r="C7" t="s">
        <v>15</v>
      </c>
      <c r="D7" t="s">
        <v>160</v>
      </c>
    </row>
    <row r="8" spans="1:4" x14ac:dyDescent="0.35">
      <c r="A8" t="s">
        <v>161</v>
      </c>
      <c r="B8" t="s">
        <v>48</v>
      </c>
      <c r="C8" t="s">
        <v>35</v>
      </c>
      <c r="D8" t="s">
        <v>162</v>
      </c>
    </row>
    <row r="9" spans="1:4" x14ac:dyDescent="0.35">
      <c r="A9" t="s">
        <v>163</v>
      </c>
      <c r="B9" t="s">
        <v>93</v>
      </c>
      <c r="C9" t="s">
        <v>23</v>
      </c>
      <c r="D9" t="s">
        <v>164</v>
      </c>
    </row>
    <row r="10" spans="1:4" x14ac:dyDescent="0.35">
      <c r="A10" t="s">
        <v>165</v>
      </c>
      <c r="B10" t="s">
        <v>15</v>
      </c>
      <c r="C10" t="s">
        <v>15</v>
      </c>
      <c r="D10" t="s">
        <v>166</v>
      </c>
    </row>
    <row r="11" spans="1:4" x14ac:dyDescent="0.35">
      <c r="A11" t="s">
        <v>167</v>
      </c>
      <c r="B11" t="s">
        <v>35</v>
      </c>
      <c r="C11" t="s">
        <v>35</v>
      </c>
      <c r="D11" t="s">
        <v>168</v>
      </c>
    </row>
    <row r="12" spans="1:4" x14ac:dyDescent="0.35">
      <c r="A12" t="s">
        <v>169</v>
      </c>
      <c r="B12" t="s">
        <v>15</v>
      </c>
      <c r="C12" t="s">
        <v>15</v>
      </c>
      <c r="D12" t="s">
        <v>170</v>
      </c>
    </row>
    <row r="13" spans="1:4" x14ac:dyDescent="0.35">
      <c r="A13" t="s">
        <v>171</v>
      </c>
      <c r="B13" t="s">
        <v>48</v>
      </c>
      <c r="C13" t="s">
        <v>35</v>
      </c>
      <c r="D13" t="s">
        <v>172</v>
      </c>
    </row>
    <row r="14" spans="1:4" x14ac:dyDescent="0.35">
      <c r="A14" t="s">
        <v>173</v>
      </c>
      <c r="B14" t="s">
        <v>174</v>
      </c>
      <c r="C14" t="s">
        <v>15</v>
      </c>
      <c r="D14" t="s">
        <v>175</v>
      </c>
    </row>
    <row r="15" spans="1:4" x14ac:dyDescent="0.35">
      <c r="A15" t="s">
        <v>176</v>
      </c>
      <c r="B15" t="s">
        <v>57</v>
      </c>
      <c r="C15" t="s">
        <v>35</v>
      </c>
      <c r="D15">
        <v>136.69</v>
      </c>
    </row>
    <row r="16" spans="1:4" x14ac:dyDescent="0.35">
      <c r="A16" t="s">
        <v>177</v>
      </c>
      <c r="B16" t="s">
        <v>93</v>
      </c>
      <c r="C16" t="s">
        <v>23</v>
      </c>
      <c r="D16">
        <v>3.64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6"/>
  <sheetViews>
    <sheetView workbookViewId="0">
      <selection activeCell="F8" sqref="F8"/>
    </sheetView>
  </sheetViews>
  <sheetFormatPr defaultRowHeight="14.5" x14ac:dyDescent="0.35"/>
  <cols>
    <col min="3" max="3" width="9.26953125" customWidth="1"/>
    <col min="4" max="4" width="9.90625" customWidth="1"/>
    <col min="5" max="5" width="16.90625" customWidth="1"/>
    <col min="6" max="6" width="19.453125" customWidth="1"/>
    <col min="7" max="7" width="13.90625" customWidth="1"/>
    <col min="8" max="8" width="13" customWidth="1"/>
    <col min="9" max="9" width="12.453125" customWidth="1"/>
  </cols>
  <sheetData>
    <row r="1" spans="1:9" x14ac:dyDescent="0.35">
      <c r="A1" t="s">
        <v>3</v>
      </c>
      <c r="B1" t="s">
        <v>178</v>
      </c>
      <c r="C1" t="s">
        <v>179</v>
      </c>
      <c r="D1" t="s">
        <v>112</v>
      </c>
      <c r="E1" t="s">
        <v>125</v>
      </c>
      <c r="F1" t="s">
        <v>126</v>
      </c>
      <c r="G1" t="s">
        <v>122</v>
      </c>
      <c r="H1" t="s">
        <v>180</v>
      </c>
      <c r="I1" t="s">
        <v>181</v>
      </c>
    </row>
    <row r="2" spans="1:9" x14ac:dyDescent="0.35">
      <c r="A2" t="s">
        <v>14</v>
      </c>
      <c r="B2" t="s">
        <v>14</v>
      </c>
      <c r="C2" t="s">
        <v>15</v>
      </c>
      <c r="D2">
        <v>7</v>
      </c>
      <c r="E2">
        <v>210.4</v>
      </c>
      <c r="F2">
        <v>186.7</v>
      </c>
      <c r="G2">
        <v>269</v>
      </c>
      <c r="H2">
        <v>3</v>
      </c>
      <c r="I2">
        <v>3</v>
      </c>
    </row>
    <row r="3" spans="1:9" x14ac:dyDescent="0.35">
      <c r="A3" t="s">
        <v>22</v>
      </c>
      <c r="B3" t="s">
        <v>22</v>
      </c>
      <c r="C3" t="s">
        <v>15</v>
      </c>
      <c r="D3">
        <v>5</v>
      </c>
      <c r="E3">
        <v>249.2</v>
      </c>
      <c r="F3">
        <v>208.6</v>
      </c>
      <c r="G3">
        <v>330</v>
      </c>
      <c r="H3">
        <v>3</v>
      </c>
      <c r="I3">
        <v>1</v>
      </c>
    </row>
    <row r="4" spans="1:9" x14ac:dyDescent="0.35">
      <c r="A4" t="s">
        <v>42</v>
      </c>
      <c r="B4" t="s">
        <v>42</v>
      </c>
      <c r="C4" t="s">
        <v>15</v>
      </c>
      <c r="D4">
        <v>4</v>
      </c>
      <c r="E4">
        <v>201</v>
      </c>
      <c r="F4">
        <v>176.5</v>
      </c>
      <c r="G4">
        <v>295</v>
      </c>
      <c r="H4">
        <v>1</v>
      </c>
      <c r="I4">
        <v>3</v>
      </c>
    </row>
    <row r="5" spans="1:9" x14ac:dyDescent="0.35">
      <c r="A5" t="s">
        <v>62</v>
      </c>
      <c r="B5" t="s">
        <v>62</v>
      </c>
      <c r="C5" t="s">
        <v>15</v>
      </c>
      <c r="D5">
        <v>6</v>
      </c>
      <c r="E5">
        <v>283.8</v>
      </c>
      <c r="F5">
        <v>248.2</v>
      </c>
      <c r="G5">
        <v>333</v>
      </c>
      <c r="H5">
        <v>3</v>
      </c>
      <c r="I5">
        <v>2</v>
      </c>
    </row>
    <row r="6" spans="1:9" x14ac:dyDescent="0.35">
      <c r="A6" t="s">
        <v>29</v>
      </c>
      <c r="B6" t="s">
        <v>29</v>
      </c>
      <c r="C6" t="s">
        <v>16</v>
      </c>
      <c r="D6">
        <v>9</v>
      </c>
      <c r="E6">
        <v>172.4</v>
      </c>
      <c r="F6">
        <v>163.80000000000001</v>
      </c>
      <c r="G6">
        <v>235</v>
      </c>
      <c r="H6">
        <v>5</v>
      </c>
      <c r="I6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match_results</vt:lpstr>
      <vt:lpstr>points table</vt:lpstr>
      <vt:lpstr>Team statistics</vt:lpstr>
      <vt:lpstr>top run scorers</vt:lpstr>
      <vt:lpstr>top wicket takers</vt:lpstr>
      <vt:lpstr>tournament award record</vt:lpstr>
      <vt:lpstr>venue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2026-02-17T09:15:45Z</dcterms:created>
  <dcterms:modified xsi:type="dcterms:W3CDTF">2026-02-18T09:00:38Z</dcterms:modified>
</cp:coreProperties>
</file>